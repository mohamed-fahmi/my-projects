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3.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customXml/itemProps24.xml" ContentType="application/vnd.openxmlformats-officedocument.customXmlProperties+xml"/>
  <Override PartName="/customXml/itemProps25.xml" ContentType="application/vnd.openxmlformats-officedocument.customXmlProperties+xml"/>
  <Override PartName="/customXml/itemProps26.xml" ContentType="application/vnd.openxmlformats-officedocument.customXmlProperties+xml"/>
  <Override PartName="/customXml/itemProps27.xml" ContentType="application/vnd.openxmlformats-officedocument.customXmlProperties+xml"/>
  <Override PartName="/customXml/itemProps28.xml" ContentType="application/vnd.openxmlformats-officedocument.customXmlProperties+xml"/>
  <Override PartName="/customXml/itemProps29.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202300"/>
  <mc:AlternateContent xmlns:mc="http://schemas.openxmlformats.org/markup-compatibility/2006">
    <mc:Choice Requires="x15">
      <x15ac:absPath xmlns:x15ac="http://schemas.microsoft.com/office/spreadsheetml/2010/11/ac" url="D:\excel\Portfolio Projects\HR Analysis\"/>
    </mc:Choice>
  </mc:AlternateContent>
  <xr:revisionPtr revIDLastSave="0" documentId="8_{6986855D-2E2C-4851-8B62-547EF264ACBC}" xr6:coauthVersionLast="47" xr6:coauthVersionMax="47" xr10:uidLastSave="{00000000-0000-0000-0000-000000000000}"/>
  <bookViews>
    <workbookView xWindow="-108" yWindow="-108" windowWidth="23256" windowHeight="12576" activeTab="1" xr2:uid="{717544B6-935B-4A63-B798-09AEFD237D16}"/>
  </bookViews>
  <sheets>
    <sheet name="Aanlysis" sheetId="1" r:id="rId1"/>
    <sheet name="Dashboard" sheetId="4" r:id="rId2"/>
  </sheets>
  <definedNames>
    <definedName name="Slicer_Department">#N/A</definedName>
    <definedName name="Slicer_Job_Level">#N/A</definedName>
    <definedName name="Slicer_Job_Title">#N/A</definedName>
  </definedNames>
  <calcPr calcId="191029"/>
  <pivotCaches>
    <pivotCache cacheId="310" r:id="rId3"/>
    <pivotCache cacheId="313" r:id="rId4"/>
    <pivotCache cacheId="316" r:id="rId5"/>
    <pivotCache cacheId="319" r:id="rId6"/>
    <pivotCache cacheId="322" r:id="rId7"/>
    <pivotCache cacheId="325" r:id="rId8"/>
    <pivotCache cacheId="328" r:id="rId9"/>
    <pivotCache cacheId="331" r:id="rId10"/>
    <pivotCache cacheId="334" r:id="rId11"/>
    <pivotCache cacheId="345" r:id="rId12"/>
    <pivotCache cacheId="356" r:id="rId13"/>
  </pivotCaches>
  <extLst>
    <ext xmlns:x14="http://schemas.microsoft.com/office/spreadsheetml/2009/9/main" uri="{876F7934-8845-4945-9796-88D515C7AA90}">
      <x14:pivotCaches>
        <pivotCache cacheId="88" r:id="rId14"/>
      </x14:pivotCaches>
    </ext>
    <ext xmlns:x14="http://schemas.microsoft.com/office/spreadsheetml/2009/9/main" uri="{BBE1A952-AA13-448e-AADC-164F8A28A991}">
      <x14:slicerCaches>
        <x14:slicerCache r:id="rId15"/>
        <x14:slicerCache r:id="rId16"/>
        <x14:slicerCache r:id="rId1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R Salary_37335b41-0b26-4c56-9204-ffe53b7960f6" name="HR Salary" connection="Query - HR Salary"/>
          <x15:modelTable id="Job Class_04e7d5f1-7909-434d-b02a-cf092ff34bc9" name="Job Class" connection="Query - Job Class"/>
        </x15:modelTables>
        <x15:modelRelationships>
          <x15:modelRelationship fromTable="HR Salary" fromColumn="Job Title" toTable="Job Class" toColumn="Job Titl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45CE46-7084-4D31-9DFB-7B46BB7F8CAC}" name="Query - HR Salary" description="Connection to the 'HR Salary' query in the workbook." type="100" refreshedVersion="8" minRefreshableVersion="5">
    <extLst>
      <ext xmlns:x15="http://schemas.microsoft.com/office/spreadsheetml/2010/11/main" uri="{DE250136-89BD-433C-8126-D09CA5730AF9}">
        <x15:connection id="d0b5a4f9-dbac-497e-b3e1-82b8532fc8ba"/>
      </ext>
    </extLst>
  </connection>
  <connection id="2" xr16:uid="{6394D336-911B-4AA5-973E-A21A55B6F046}" name="Query - Job Class" description="Connection to the 'Job Class' query in the workbook." type="100" refreshedVersion="8" minRefreshableVersion="5">
    <extLst>
      <ext xmlns:x15="http://schemas.microsoft.com/office/spreadsheetml/2010/11/main" uri="{DE250136-89BD-433C-8126-D09CA5730AF9}">
        <x15:connection id="e634dc07-4d12-411c-89ad-86f1ef2f3182"/>
      </ext>
    </extLst>
  </connection>
  <connection id="3" xr16:uid="{778B252B-973B-4D1A-9A11-476C39EE1FBB}"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<sst xmlns="http://schemas.openxmlformats.org/spreadsheetml/2006/main" count="68" uniqueCount="48">
  <si>
    <t>TotalSalary</t>
  </si>
  <si>
    <t>Employees</t>
  </si>
  <si>
    <t>Locations</t>
  </si>
  <si>
    <t>Departments</t>
  </si>
  <si>
    <t>IT</t>
  </si>
  <si>
    <t>IT Manager</t>
  </si>
  <si>
    <t>Male</t>
  </si>
  <si>
    <t>Fort Worth</t>
  </si>
  <si>
    <t>BSC</t>
  </si>
  <si>
    <t>R&amp;D</t>
  </si>
  <si>
    <t>R&amp;D Manager</t>
  </si>
  <si>
    <t>Research Analyst</t>
  </si>
  <si>
    <t>Female</t>
  </si>
  <si>
    <t>Houston</t>
  </si>
  <si>
    <t>Finance</t>
  </si>
  <si>
    <t>Accountant</t>
  </si>
  <si>
    <t>Seattle</t>
  </si>
  <si>
    <t>Operations</t>
  </si>
  <si>
    <t>Logistics Coordinator</t>
  </si>
  <si>
    <t>System Admin</t>
  </si>
  <si>
    <t>San Jose</t>
  </si>
  <si>
    <t>Marketing</t>
  </si>
  <si>
    <t>SEO Specialist</t>
  </si>
  <si>
    <t>Financial Analyst</t>
  </si>
  <si>
    <t>Operations Executive</t>
  </si>
  <si>
    <t>HR</t>
  </si>
  <si>
    <t>HR Manager</t>
  </si>
  <si>
    <t>Sales</t>
  </si>
  <si>
    <t>Account Manager</t>
  </si>
  <si>
    <t>Operations Manager</t>
  </si>
  <si>
    <t>Philadelphia</t>
  </si>
  <si>
    <t>HR Assistant</t>
  </si>
  <si>
    <t>Denver</t>
  </si>
  <si>
    <t>Software Engineer</t>
  </si>
  <si>
    <t>Marketing Manager</t>
  </si>
  <si>
    <t>Indianapolis</t>
  </si>
  <si>
    <t>Sales Executive</t>
  </si>
  <si>
    <t>Recruiter</t>
  </si>
  <si>
    <t>Finance Manager</t>
  </si>
  <si>
    <t>Marketing Executive</t>
  </si>
  <si>
    <t>Sales Manager</t>
  </si>
  <si>
    <t>Data Scientist</t>
  </si>
  <si>
    <t>High School</t>
  </si>
  <si>
    <t>Master</t>
  </si>
  <si>
    <t>PhD</t>
  </si>
  <si>
    <t>Row Labels</t>
  </si>
  <si>
    <t>Grand Total</t>
  </si>
  <si>
    <t>AVG Salary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</si>
</sst>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
  </numFmts>
  <fonts count="2" x14ac:knownFonts="1">
    <font>
      <sz val="11"/>
      <color theme="1"/>
      <name val="Aptos Narrow"/>
      <family val="2"/>
      <scheme val="minor"/>
    </font>
    <font>
      <sz val="72"/>
      <color theme="1"/>
      <name val="Aptos Narrow"/>
      <family val="2"/>
      <scheme val="minor"/>
    </font>
  </fonts>
  <fills count="3">
    <fill>
      <patternFill patternType="none"/>
    </fill>
    <fill>
      <patternFill patternType="gray125"/>
    </fill>
    <fill>
      <patternFill patternType="solid">
        <fgColor theme="2" tint="-0.249977111117893"/>
        <bgColor indexed="64"/>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1"/>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2" borderId="0" xfId="0" applyFont="1" applyFill="1"/>
    <xf numFmtId="10" fontId="0" fillId="0" borderId="0" xfId="0" applyNumberFormat="1"/>
  </cellXfs>
  <cellStyles count="1">
    <cellStyle name="Normal" xfId="0" builtinId="0"/>
  </cellStyles>
  <dxfs count="2">
    <dxf>
      <numFmt numFmtId="14" formatCode="0.00%"/>
    </dxf>
    <dxf>
      <numFmt numFmtId="167" formatCode="_(&quot;$&quot;* #,##0_);_(&quot;$&quot;* \(#,##0\);_(&quot;$&quot;* &quot;-&quot;??_);_(@_)"/>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11.xml"/><Relationship Id="rId18" Type="http://schemas.openxmlformats.org/officeDocument/2006/relationships/theme" Target="theme/theme1.xml"/><Relationship Id="rId26" Type="http://schemas.openxmlformats.org/officeDocument/2006/relationships/customXml" Target="../customXml/item4.xml"/><Relationship Id="rId39" Type="http://schemas.openxmlformats.org/officeDocument/2006/relationships/customXml" Target="../customXml/item17.xml"/><Relationship Id="rId21" Type="http://schemas.openxmlformats.org/officeDocument/2006/relationships/sharedStrings" Target="sharedStrings.xml"/><Relationship Id="rId34" Type="http://schemas.openxmlformats.org/officeDocument/2006/relationships/customXml" Target="../customXml/item12.xml"/><Relationship Id="rId42" Type="http://schemas.openxmlformats.org/officeDocument/2006/relationships/customXml" Target="../customXml/item20.xml"/><Relationship Id="rId47" Type="http://schemas.openxmlformats.org/officeDocument/2006/relationships/customXml" Target="../customXml/item25.xml"/><Relationship Id="rId50" Type="http://schemas.openxmlformats.org/officeDocument/2006/relationships/customXml" Target="../customXml/item28.xml"/><Relationship Id="rId7" Type="http://schemas.openxmlformats.org/officeDocument/2006/relationships/pivotCacheDefinition" Target="pivotCache/pivotCacheDefinition5.xml"/><Relationship Id="rId2" Type="http://schemas.openxmlformats.org/officeDocument/2006/relationships/worksheet" Target="worksheets/sheet2.xml"/><Relationship Id="rId16" Type="http://schemas.microsoft.com/office/2007/relationships/slicerCache" Target="slicerCaches/slicerCache2.xml"/><Relationship Id="rId29" Type="http://schemas.openxmlformats.org/officeDocument/2006/relationships/customXml" Target="../customXml/item7.xml"/><Relationship Id="rId11" Type="http://schemas.openxmlformats.org/officeDocument/2006/relationships/pivotCacheDefinition" Target="pivotCache/pivotCacheDefinition9.xml"/><Relationship Id="rId24" Type="http://schemas.openxmlformats.org/officeDocument/2006/relationships/customXml" Target="../customXml/item2.xml"/><Relationship Id="rId32" Type="http://schemas.openxmlformats.org/officeDocument/2006/relationships/customXml" Target="../customXml/item10.xml"/><Relationship Id="rId37" Type="http://schemas.openxmlformats.org/officeDocument/2006/relationships/customXml" Target="../customXml/item15.xml"/><Relationship Id="rId40" Type="http://schemas.openxmlformats.org/officeDocument/2006/relationships/customXml" Target="../customXml/item18.xml"/><Relationship Id="rId45" Type="http://schemas.openxmlformats.org/officeDocument/2006/relationships/customXml" Target="../customXml/item23.xml"/><Relationship Id="rId5" Type="http://schemas.openxmlformats.org/officeDocument/2006/relationships/pivotCacheDefinition" Target="pivotCache/pivotCacheDefinition3.xml"/><Relationship Id="rId15" Type="http://schemas.microsoft.com/office/2007/relationships/slicerCache" Target="slicerCaches/slicerCache1.xml"/><Relationship Id="rId23" Type="http://schemas.openxmlformats.org/officeDocument/2006/relationships/customXml" Target="../customXml/item1.xml"/><Relationship Id="rId28" Type="http://schemas.openxmlformats.org/officeDocument/2006/relationships/customXml" Target="../customXml/item6.xml"/><Relationship Id="rId36" Type="http://schemas.openxmlformats.org/officeDocument/2006/relationships/customXml" Target="../customXml/item14.xml"/><Relationship Id="rId49" Type="http://schemas.openxmlformats.org/officeDocument/2006/relationships/customXml" Target="../customXml/item27.xml"/><Relationship Id="rId10" Type="http://schemas.openxmlformats.org/officeDocument/2006/relationships/pivotCacheDefinition" Target="pivotCache/pivotCacheDefinition8.xml"/><Relationship Id="rId19" Type="http://schemas.openxmlformats.org/officeDocument/2006/relationships/connections" Target="connections.xml"/><Relationship Id="rId31" Type="http://schemas.openxmlformats.org/officeDocument/2006/relationships/customXml" Target="../customXml/item9.xml"/><Relationship Id="rId44" Type="http://schemas.openxmlformats.org/officeDocument/2006/relationships/customXml" Target="../customXml/item22.xml"/><Relationship Id="rId4" Type="http://schemas.openxmlformats.org/officeDocument/2006/relationships/pivotCacheDefinition" Target="pivotCache/pivotCacheDefinition2.xml"/><Relationship Id="rId9" Type="http://schemas.openxmlformats.org/officeDocument/2006/relationships/pivotCacheDefinition" Target="pivotCache/pivotCacheDefinition7.xml"/><Relationship Id="rId14" Type="http://schemas.openxmlformats.org/officeDocument/2006/relationships/pivotCacheDefinition" Target="pivotCache/pivotCacheDefinition12.xml"/><Relationship Id="rId22" Type="http://schemas.openxmlformats.org/officeDocument/2006/relationships/powerPivotData" Target="model/item.data"/><Relationship Id="rId27" Type="http://schemas.openxmlformats.org/officeDocument/2006/relationships/customXml" Target="../customXml/item5.xml"/><Relationship Id="rId30" Type="http://schemas.openxmlformats.org/officeDocument/2006/relationships/customXml" Target="../customXml/item8.xml"/><Relationship Id="rId35" Type="http://schemas.openxmlformats.org/officeDocument/2006/relationships/customXml" Target="../customXml/item13.xml"/><Relationship Id="rId43" Type="http://schemas.openxmlformats.org/officeDocument/2006/relationships/customXml" Target="../customXml/item21.xml"/><Relationship Id="rId48" Type="http://schemas.openxmlformats.org/officeDocument/2006/relationships/customXml" Target="../customXml/item26.xml"/><Relationship Id="rId8" Type="http://schemas.openxmlformats.org/officeDocument/2006/relationships/pivotCacheDefinition" Target="pivotCache/pivotCacheDefinition6.xml"/><Relationship Id="rId51" Type="http://schemas.openxmlformats.org/officeDocument/2006/relationships/customXml" Target="../customXml/item29.xml"/><Relationship Id="rId3" Type="http://schemas.openxmlformats.org/officeDocument/2006/relationships/pivotCacheDefinition" Target="pivotCache/pivotCacheDefinition1.xml"/><Relationship Id="rId12" Type="http://schemas.openxmlformats.org/officeDocument/2006/relationships/pivotCacheDefinition" Target="pivotCache/pivotCacheDefinition10.xml"/><Relationship Id="rId17" Type="http://schemas.microsoft.com/office/2007/relationships/slicerCache" Target="slicerCaches/slicerCache3.xml"/><Relationship Id="rId25" Type="http://schemas.openxmlformats.org/officeDocument/2006/relationships/customXml" Target="../customXml/item3.xml"/><Relationship Id="rId33" Type="http://schemas.openxmlformats.org/officeDocument/2006/relationships/customXml" Target="../customXml/item11.xml"/><Relationship Id="rId38" Type="http://schemas.openxmlformats.org/officeDocument/2006/relationships/customXml" Target="../customXml/item16.xml"/><Relationship Id="rId46" Type="http://schemas.openxmlformats.org/officeDocument/2006/relationships/customXml" Target="../customXml/item24.xml"/><Relationship Id="rId20" Type="http://schemas.openxmlformats.org/officeDocument/2006/relationships/styles" Target="styles.xml"/><Relationship Id="rId41" Type="http://schemas.openxmlformats.org/officeDocument/2006/relationships/customXml" Target="../customXml/item19.xml"/><Relationship Id="rId1" Type="http://schemas.openxmlformats.org/officeDocument/2006/relationships/worksheet" Target="worksheets/sheet1.xml"/><Relationship Id="rId6" Type="http://schemas.openxmlformats.org/officeDocument/2006/relationships/pivotCacheDefinition" Target="pivotCache/pivotCacheDefinition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Analysis.xlsx]Aanlysis!PivotTable12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Salary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Aanlysis!$K$12</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Aanlysis!$J$13:$J$15</c:f>
              <c:strCache>
                <c:ptCount val="2"/>
                <c:pt idx="0">
                  <c:v>Female</c:v>
                </c:pt>
                <c:pt idx="1">
                  <c:v>Male</c:v>
                </c:pt>
              </c:strCache>
            </c:strRef>
          </c:cat>
          <c:val>
            <c:numRef>
              <c:f>Aanlysis!$K$13:$K$15</c:f>
              <c:numCache>
                <c:formatCode>0.00%</c:formatCode>
                <c:ptCount val="2"/>
                <c:pt idx="0">
                  <c:v>0.52770179361579894</c:v>
                </c:pt>
                <c:pt idx="1">
                  <c:v>0.47229820638420106</c:v>
                </c:pt>
              </c:numCache>
            </c:numRef>
          </c:val>
          <c:extLst>
            <c:ext xmlns:c16="http://schemas.microsoft.com/office/drawing/2014/chart" uri="{C3380CC4-5D6E-409C-BE32-E72D297353CC}">
              <c16:uniqueId val="{00000000-F5F8-49F1-84F6-5767395E3F3B}"/>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Analysis.xlsx]Aanlysis!PivotTable7</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Salary By Location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Aanlysis!$H$1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Aanlysis!$G$2:$G$9</c:f>
              <c:strCache>
                <c:ptCount val="7"/>
                <c:pt idx="0">
                  <c:v>Philadelphia</c:v>
                </c:pt>
                <c:pt idx="1">
                  <c:v>Houston</c:v>
                </c:pt>
                <c:pt idx="2">
                  <c:v>Denver</c:v>
                </c:pt>
                <c:pt idx="3">
                  <c:v>Seattle</c:v>
                </c:pt>
                <c:pt idx="4">
                  <c:v>Fort Worth</c:v>
                </c:pt>
                <c:pt idx="5">
                  <c:v>San Jose</c:v>
                </c:pt>
                <c:pt idx="6">
                  <c:v>Indianapolis</c:v>
                </c:pt>
              </c:strCache>
            </c:strRef>
          </c:cat>
          <c:val>
            <c:numRef>
              <c:f>Aanlysis!$H$2:$H$9</c:f>
              <c:numCache>
                <c:formatCode>\$#,##0;\(\$#,##0\);\$#,##0</c:formatCode>
                <c:ptCount val="7"/>
                <c:pt idx="0">
                  <c:v>9624.4025974025972</c:v>
                </c:pt>
                <c:pt idx="1">
                  <c:v>9648.4696969696961</c:v>
                </c:pt>
                <c:pt idx="2">
                  <c:v>9730.8533333333326</c:v>
                </c:pt>
                <c:pt idx="3">
                  <c:v>9805.9324324324316</c:v>
                </c:pt>
                <c:pt idx="4">
                  <c:v>9926.818181818182</c:v>
                </c:pt>
                <c:pt idx="5">
                  <c:v>10275.313432835821</c:v>
                </c:pt>
                <c:pt idx="6">
                  <c:v>10570.546875</c:v>
                </c:pt>
              </c:numCache>
            </c:numRef>
          </c:val>
          <c:extLst>
            <c:ext xmlns:c16="http://schemas.microsoft.com/office/drawing/2014/chart" uri="{C3380CC4-5D6E-409C-BE32-E72D297353CC}">
              <c16:uniqueId val="{00000000-050F-49A1-8957-62EE0628E85A}"/>
            </c:ext>
          </c:extLst>
        </c:ser>
        <c:dLbls>
          <c:dLblPos val="outEnd"/>
          <c:showLegendKey val="0"/>
          <c:showVal val="1"/>
          <c:showCatName val="0"/>
          <c:showSerName val="0"/>
          <c:showPercent val="0"/>
          <c:showBubbleSize val="0"/>
        </c:dLbls>
        <c:gapWidth val="182"/>
        <c:axId val="1718918799"/>
        <c:axId val="1718919279"/>
      </c:barChart>
      <c:catAx>
        <c:axId val="1718918799"/>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1718919279"/>
        <c:crosses val="autoZero"/>
        <c:auto val="1"/>
        <c:lblAlgn val="ctr"/>
        <c:lblOffset val="100"/>
        <c:noMultiLvlLbl val="0"/>
      </c:catAx>
      <c:valAx>
        <c:axId val="1718919279"/>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1718918799"/>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Analysis.xlsx]Aanlysis!PivotTable8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800" b="1"/>
              <a:t>Salary</a:t>
            </a:r>
            <a:r>
              <a:rPr lang="en-US" sz="2800" b="1" baseline="0"/>
              <a:t> By Education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tx>
            <c:rich>
              <a:bodyPr rot="0" spcFirstLastPara="1" vertOverflow="ellipsis" vert="horz" wrap="square" lIns="38100" tIns="19050" rIns="38100" bIns="19050" anchor="ctr" anchorCtr="0">
                <a:noAutofit/>
              </a:bodyPr>
              <a:lstStyle/>
              <a:p>
                <a:pPr algn="ctr">
                  <a:defRPr sz="900" b="1" i="0" u="none" strike="noStrike" kern="1200" baseline="0">
                    <a:solidFill>
                      <a:schemeClr val="tx1">
                        <a:lumMod val="75000"/>
                        <a:lumOff val="25000"/>
                      </a:schemeClr>
                    </a:solidFill>
                    <a:latin typeface="+mn-lt"/>
                    <a:ea typeface="+mn-ea"/>
                    <a:cs typeface="+mn-cs"/>
                  </a:defRPr>
                </a:pPr>
                <a:fld id="{201E62D2-AA0E-42B7-9E44-40DA35A5235C}" type="VALUE">
                  <a:rPr lang="en-US" sz="2000" b="1"/>
                  <a:pPr algn="ctr">
                    <a:defRPr b="1"/>
                  </a:pPr>
                  <a:t>[VALUE]</a:t>
                </a:fld>
                <a:endParaRPr lang="en-US"/>
              </a:p>
            </c:rich>
          </c:tx>
          <c:spPr>
            <a:noFill/>
            <a:ln>
              <a:noFill/>
            </a:ln>
            <a:effectLst/>
          </c:spPr>
          <c:txPr>
            <a:bodyPr rot="0" spcFirstLastPara="1" vertOverflow="ellipsis" vert="horz" wrap="square" lIns="38100" tIns="19050" rIns="38100" bIns="19050" anchor="ctr" anchorCtr="0">
              <a:noAutofit/>
            </a:bodyPr>
            <a:lstStyle/>
            <a:p>
              <a:pPr algn="ct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128305235187278"/>
                  <c:h val="5.7358251370343491E-2"/>
                </c:manualLayout>
              </c15:layout>
              <c15:dlblFieldTable/>
              <c15:showDataLabelsRange val="0"/>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1800" b="1" i="0" u="none" strike="noStrike" kern="1200" baseline="0">
                  <a:solidFill>
                    <a:schemeClr val="tx1">
                      <a:lumMod val="75000"/>
                      <a:lumOff val="25000"/>
                    </a:schemeClr>
                  </a:solidFill>
                  <a:latin typeface="+mn-lt"/>
                  <a:ea typeface="+mn-ea"/>
                  <a:cs typeface="+mn-cs"/>
                </a:defRPr>
              </a:pPr>
              <a:endParaRPr lang="en-US"/>
            </a:p>
          </c:txPr>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2400" b="1" i="0" u="none" strike="noStrike" kern="1200" baseline="0">
                  <a:solidFill>
                    <a:schemeClr val="tx1">
                      <a:lumMod val="75000"/>
                      <a:lumOff val="25000"/>
                    </a:schemeClr>
                  </a:solidFill>
                  <a:latin typeface="+mn-lt"/>
                  <a:ea typeface="+mn-ea"/>
                  <a:cs typeface="+mn-cs"/>
                </a:defRPr>
              </a:pPr>
              <a:endParaRPr lang="en-US"/>
            </a:p>
          </c:txPr>
        </c:dLbl>
      </c:pivotFmt>
    </c:pivotFmts>
    <c:plotArea>
      <c:layout>
        <c:manualLayout>
          <c:layoutTarget val="inner"/>
          <c:xMode val="edge"/>
          <c:yMode val="edge"/>
          <c:x val="3.7334068122032292E-2"/>
          <c:y val="0.10916921767090999"/>
          <c:w val="0.9172717998253942"/>
          <c:h val="0.81061524207765545"/>
        </c:manualLayout>
      </c:layout>
      <c:barChart>
        <c:barDir val="col"/>
        <c:grouping val="clustered"/>
        <c:varyColors val="0"/>
        <c:ser>
          <c:idx val="0"/>
          <c:order val="0"/>
          <c:tx>
            <c:strRef>
              <c:f>Aanlysis!$K$1</c:f>
              <c:strCache>
                <c:ptCount val="1"/>
                <c:pt idx="0">
                  <c:v>Total</c:v>
                </c:pt>
              </c:strCache>
            </c:strRef>
          </c:tx>
          <c:spPr>
            <a:solidFill>
              <a:schemeClr val="accent1"/>
            </a:solidFill>
            <a:ln>
              <a:noFill/>
            </a:ln>
            <a:effectLst/>
          </c:spPr>
          <c:invertIfNegative val="0"/>
          <c:dLbls>
            <c:dLbl>
              <c:idx val="2"/>
              <c:tx>
                <c:rich>
                  <a:bodyPr rot="0" spcFirstLastPara="1" vertOverflow="ellipsis" vert="horz" wrap="square" lIns="38100" tIns="19050" rIns="38100" bIns="19050" anchor="ctr" anchorCtr="0">
                    <a:noAutofit/>
                  </a:bodyPr>
                  <a:lstStyle/>
                  <a:p>
                    <a:pPr algn="ctr">
                      <a:defRPr sz="900" b="1" i="0" u="none" strike="noStrike" kern="1200" baseline="0">
                        <a:solidFill>
                          <a:schemeClr val="tx1">
                            <a:lumMod val="75000"/>
                            <a:lumOff val="25000"/>
                          </a:schemeClr>
                        </a:solidFill>
                        <a:latin typeface="+mn-lt"/>
                        <a:ea typeface="+mn-ea"/>
                        <a:cs typeface="+mn-cs"/>
                      </a:defRPr>
                    </a:pPr>
                    <a:fld id="{201E62D2-AA0E-42B7-9E44-40DA35A5235C}" type="VALUE">
                      <a:rPr lang="en-US" sz="2000" b="1"/>
                      <a:pPr algn="ctr">
                        <a:defRPr b="1"/>
                      </a:pPr>
                      <a:t>[VALUE]</a:t>
                    </a:fld>
                    <a:endParaRPr lang="en-US"/>
                  </a:p>
                </c:rich>
              </c:tx>
              <c:spPr>
                <a:noFill/>
                <a:ln>
                  <a:noFill/>
                </a:ln>
                <a:effectLst/>
              </c:spPr>
              <c:txPr>
                <a:bodyPr rot="0" spcFirstLastPara="1" vertOverflow="ellipsis" vert="horz" wrap="square" lIns="38100" tIns="19050" rIns="38100" bIns="19050" anchor="ctr" anchorCtr="0">
                  <a:noAutofit/>
                </a:bodyPr>
                <a:lstStyle/>
                <a:p>
                  <a:pPr algn="ct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1128305235187278"/>
                      <c:h val="5.7358251370343491E-2"/>
                    </c:manualLayout>
                  </c15:layout>
                  <c15:dlblFieldTable/>
                  <c15:showDataLabelsRange val="0"/>
                </c:ext>
                <c:ext xmlns:c16="http://schemas.microsoft.com/office/drawing/2014/chart" uri="{C3380CC4-5D6E-409C-BE32-E72D297353CC}">
                  <c16:uniqueId val="{00000001-DBC4-4FAD-8FD7-3C01E313A818}"/>
                </c:ext>
              </c:extLst>
            </c:dLbl>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Aanlysis!$J$2:$J$6</c:f>
              <c:strCache>
                <c:ptCount val="4"/>
                <c:pt idx="0">
                  <c:v>BSC</c:v>
                </c:pt>
                <c:pt idx="1">
                  <c:v>High School</c:v>
                </c:pt>
                <c:pt idx="2">
                  <c:v>Master</c:v>
                </c:pt>
                <c:pt idx="3">
                  <c:v>PhD</c:v>
                </c:pt>
              </c:strCache>
            </c:strRef>
          </c:cat>
          <c:val>
            <c:numRef>
              <c:f>Aanlysis!$K$2:$K$6</c:f>
              <c:numCache>
                <c:formatCode>\$#,##0;\(\$#,##0\);\$#,##0</c:formatCode>
                <c:ptCount val="4"/>
                <c:pt idx="0">
                  <c:v>9816.6832061068708</c:v>
                </c:pt>
                <c:pt idx="1">
                  <c:v>9952.0666666666675</c:v>
                </c:pt>
                <c:pt idx="2">
                  <c:v>10197.954128440368</c:v>
                </c:pt>
                <c:pt idx="3">
                  <c:v>9755.9166666666661</c:v>
                </c:pt>
              </c:numCache>
            </c:numRef>
          </c:val>
          <c:extLst>
            <c:ext xmlns:c16="http://schemas.microsoft.com/office/drawing/2014/chart" uri="{C3380CC4-5D6E-409C-BE32-E72D297353CC}">
              <c16:uniqueId val="{00000000-DBC4-4FAD-8FD7-3C01E313A818}"/>
            </c:ext>
          </c:extLst>
        </c:ser>
        <c:dLbls>
          <c:dLblPos val="outEnd"/>
          <c:showLegendKey val="0"/>
          <c:showVal val="1"/>
          <c:showCatName val="0"/>
          <c:showSerName val="0"/>
          <c:showPercent val="0"/>
          <c:showBubbleSize val="0"/>
        </c:dLbls>
        <c:gapWidth val="219"/>
        <c:overlap val="-27"/>
        <c:axId val="50070784"/>
        <c:axId val="50065504"/>
      </c:barChart>
      <c:catAx>
        <c:axId val="50070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400" b="1" i="0" u="none" strike="noStrike" kern="1200" baseline="0">
                <a:solidFill>
                  <a:schemeClr val="tx1">
                    <a:lumMod val="65000"/>
                    <a:lumOff val="35000"/>
                  </a:schemeClr>
                </a:solidFill>
                <a:latin typeface="+mn-lt"/>
                <a:ea typeface="+mn-ea"/>
                <a:cs typeface="+mn-cs"/>
              </a:defRPr>
            </a:pPr>
            <a:endParaRPr lang="en-US"/>
          </a:p>
        </c:txPr>
        <c:crossAx val="50065504"/>
        <c:crosses val="autoZero"/>
        <c:auto val="1"/>
        <c:lblAlgn val="ctr"/>
        <c:lblOffset val="100"/>
        <c:noMultiLvlLbl val="0"/>
      </c:catAx>
      <c:valAx>
        <c:axId val="5006550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5007078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Analysis.xlsx]Aanlysis!PivotTable9</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Salary By Experience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0238059775903983E-2"/>
          <c:y val="7.5994613058198338E-2"/>
          <c:w val="0.92095054988552416"/>
          <c:h val="0.89317888257102152"/>
        </c:manualLayout>
      </c:layout>
      <c:lineChart>
        <c:grouping val="standard"/>
        <c:varyColors val="0"/>
        <c:ser>
          <c:idx val="0"/>
          <c:order val="0"/>
          <c:tx>
            <c:strRef>
              <c:f>Aanlysis!$B$9</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Aanlysis!$A$10:$A$46</c:f>
              <c:strCache>
                <c:ptCount val="36"/>
                <c:pt idx="0">
                  <c:v>0</c:v>
                </c:pt>
                <c:pt idx="1">
                  <c:v>1</c:v>
                </c:pt>
                <c:pt idx="2">
                  <c:v>2</c:v>
                </c:pt>
                <c:pt idx="3">
                  <c:v>3</c:v>
                </c:pt>
                <c:pt idx="4">
                  <c:v>4</c:v>
                </c:pt>
                <c:pt idx="5">
                  <c:v>5</c:v>
                </c:pt>
                <c:pt idx="6">
                  <c:v>6</c:v>
                </c:pt>
                <c:pt idx="7">
                  <c:v>7</c:v>
                </c:pt>
                <c:pt idx="8">
                  <c:v>8</c:v>
                </c:pt>
                <c:pt idx="9">
                  <c:v>9</c:v>
                </c:pt>
                <c:pt idx="10">
                  <c:v>10</c:v>
                </c:pt>
                <c:pt idx="11">
                  <c:v>11</c:v>
                </c:pt>
                <c:pt idx="12">
                  <c:v>12</c:v>
                </c:pt>
                <c:pt idx="13">
                  <c:v>13</c:v>
                </c:pt>
                <c:pt idx="14">
                  <c:v>14</c:v>
                </c:pt>
                <c:pt idx="15">
                  <c:v>15</c:v>
                </c:pt>
                <c:pt idx="16">
                  <c:v>16</c:v>
                </c:pt>
                <c:pt idx="17">
                  <c:v>17</c:v>
                </c:pt>
                <c:pt idx="18">
                  <c:v>18</c:v>
                </c:pt>
                <c:pt idx="19">
                  <c:v>19</c:v>
                </c:pt>
                <c:pt idx="20">
                  <c:v>20</c:v>
                </c:pt>
                <c:pt idx="21">
                  <c:v>21</c:v>
                </c:pt>
                <c:pt idx="22">
                  <c:v>22</c:v>
                </c:pt>
                <c:pt idx="23">
                  <c:v>23</c:v>
                </c:pt>
                <c:pt idx="24">
                  <c:v>24</c:v>
                </c:pt>
                <c:pt idx="25">
                  <c:v>25</c:v>
                </c:pt>
                <c:pt idx="26">
                  <c:v>26</c:v>
                </c:pt>
                <c:pt idx="27">
                  <c:v>27</c:v>
                </c:pt>
                <c:pt idx="28">
                  <c:v>28</c:v>
                </c:pt>
                <c:pt idx="29">
                  <c:v>29</c:v>
                </c:pt>
                <c:pt idx="30">
                  <c:v>30</c:v>
                </c:pt>
                <c:pt idx="31">
                  <c:v>31</c:v>
                </c:pt>
                <c:pt idx="32">
                  <c:v>32</c:v>
                </c:pt>
                <c:pt idx="33">
                  <c:v>33</c:v>
                </c:pt>
                <c:pt idx="34">
                  <c:v>34</c:v>
                </c:pt>
                <c:pt idx="35">
                  <c:v>37</c:v>
                </c:pt>
              </c:strCache>
            </c:strRef>
          </c:cat>
          <c:val>
            <c:numRef>
              <c:f>Aanlysis!$B$10:$B$46</c:f>
              <c:numCache>
                <c:formatCode>\$#,##0;\(\$#,##0\);\$#,##0</c:formatCode>
                <c:ptCount val="36"/>
                <c:pt idx="0">
                  <c:v>5808.0344827586205</c:v>
                </c:pt>
                <c:pt idx="1">
                  <c:v>6348.478260869565</c:v>
                </c:pt>
                <c:pt idx="2">
                  <c:v>6528.25</c:v>
                </c:pt>
                <c:pt idx="3">
                  <c:v>7416.2941176470586</c:v>
                </c:pt>
                <c:pt idx="4">
                  <c:v>7836.08</c:v>
                </c:pt>
                <c:pt idx="5">
                  <c:v>8115.4285714285716</c:v>
                </c:pt>
                <c:pt idx="6">
                  <c:v>7882.333333333333</c:v>
                </c:pt>
                <c:pt idx="7">
                  <c:v>8836.2000000000007</c:v>
                </c:pt>
                <c:pt idx="8">
                  <c:v>8817.0769230769238</c:v>
                </c:pt>
                <c:pt idx="9">
                  <c:v>9717.181818181818</c:v>
                </c:pt>
                <c:pt idx="10">
                  <c:v>9713.454545454546</c:v>
                </c:pt>
                <c:pt idx="11">
                  <c:v>10172.611111111111</c:v>
                </c:pt>
                <c:pt idx="12">
                  <c:v>10604.45</c:v>
                </c:pt>
                <c:pt idx="13">
                  <c:v>10677.666666666666</c:v>
                </c:pt>
                <c:pt idx="14">
                  <c:v>10835.3125</c:v>
                </c:pt>
                <c:pt idx="15">
                  <c:v>11643.533333333333</c:v>
                </c:pt>
                <c:pt idx="16">
                  <c:v>12042.173913043478</c:v>
                </c:pt>
                <c:pt idx="17">
                  <c:v>11601.5625</c:v>
                </c:pt>
                <c:pt idx="18">
                  <c:v>12015.272727272728</c:v>
                </c:pt>
                <c:pt idx="19">
                  <c:v>13130.5</c:v>
                </c:pt>
                <c:pt idx="20">
                  <c:v>12214.285714285714</c:v>
                </c:pt>
                <c:pt idx="21">
                  <c:v>13862.9</c:v>
                </c:pt>
                <c:pt idx="22">
                  <c:v>13721.3</c:v>
                </c:pt>
                <c:pt idx="23">
                  <c:v>13648</c:v>
                </c:pt>
                <c:pt idx="24">
                  <c:v>14713</c:v>
                </c:pt>
                <c:pt idx="25">
                  <c:v>16005.166666666666</c:v>
                </c:pt>
                <c:pt idx="26">
                  <c:v>16182.375</c:v>
                </c:pt>
                <c:pt idx="27">
                  <c:v>15153.75</c:v>
                </c:pt>
                <c:pt idx="28">
                  <c:v>17912.5</c:v>
                </c:pt>
                <c:pt idx="29">
                  <c:v>14154.333333333334</c:v>
                </c:pt>
                <c:pt idx="30">
                  <c:v>16074.333333333334</c:v>
                </c:pt>
                <c:pt idx="31">
                  <c:v>17084</c:v>
                </c:pt>
                <c:pt idx="32">
                  <c:v>19552</c:v>
                </c:pt>
                <c:pt idx="33">
                  <c:v>13250.5</c:v>
                </c:pt>
                <c:pt idx="34">
                  <c:v>20543</c:v>
                </c:pt>
                <c:pt idx="35">
                  <c:v>16899</c:v>
                </c:pt>
              </c:numCache>
            </c:numRef>
          </c:val>
          <c:smooth val="0"/>
          <c:extLst>
            <c:ext xmlns:c16="http://schemas.microsoft.com/office/drawing/2014/chart" uri="{C3380CC4-5D6E-409C-BE32-E72D297353CC}">
              <c16:uniqueId val="{00000000-75E7-4462-8FB1-A1282845CB2A}"/>
            </c:ext>
          </c:extLst>
        </c:ser>
        <c:dLbls>
          <c:showLegendKey val="0"/>
          <c:showVal val="0"/>
          <c:showCatName val="0"/>
          <c:showSerName val="0"/>
          <c:showPercent val="0"/>
          <c:showBubbleSize val="0"/>
        </c:dLbls>
        <c:marker val="1"/>
        <c:smooth val="0"/>
        <c:axId val="50066944"/>
        <c:axId val="50059264"/>
      </c:lineChart>
      <c:catAx>
        <c:axId val="50066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0059264"/>
        <c:crosses val="autoZero"/>
        <c:auto val="1"/>
        <c:lblAlgn val="ctr"/>
        <c:lblOffset val="100"/>
        <c:noMultiLvlLbl val="0"/>
      </c:catAx>
      <c:valAx>
        <c:axId val="50059264"/>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1050" b="1" i="0" u="none" strike="noStrike" kern="1200" baseline="0">
                <a:solidFill>
                  <a:schemeClr val="tx1">
                    <a:lumMod val="65000"/>
                    <a:lumOff val="35000"/>
                  </a:schemeClr>
                </a:solidFill>
                <a:latin typeface="+mn-lt"/>
                <a:ea typeface="+mn-ea"/>
                <a:cs typeface="+mn-cs"/>
              </a:defRPr>
            </a:pPr>
            <a:endParaRPr lang="en-US"/>
          </a:p>
        </c:txPr>
        <c:crossAx val="50066944"/>
        <c:crosses val="autoZero"/>
        <c:crossBetween val="between"/>
      </c:valAx>
      <c:spPr>
        <a:noFill/>
        <a:ln>
          <a:noFill/>
        </a:ln>
        <a:effectLst/>
      </c:spPr>
    </c:plotArea>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Analysis.xlsx]Aanlysis!PivotTable10</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2400" b="1"/>
              <a:t>Salary By Department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613424502609217E-2"/>
          <c:y val="0.10705094635168179"/>
          <c:w val="0.92448251163843342"/>
          <c:h val="0.81273358313385968"/>
        </c:manualLayout>
      </c:layout>
      <c:barChart>
        <c:barDir val="col"/>
        <c:grouping val="clustered"/>
        <c:varyColors val="0"/>
        <c:ser>
          <c:idx val="0"/>
          <c:order val="0"/>
          <c:tx>
            <c:strRef>
              <c:f>Aanlysis!$E$9</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20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Aanlysis!$D$10:$D$17</c:f>
              <c:strCache>
                <c:ptCount val="7"/>
                <c:pt idx="0">
                  <c:v>Finance</c:v>
                </c:pt>
                <c:pt idx="1">
                  <c:v>HR</c:v>
                </c:pt>
                <c:pt idx="2">
                  <c:v>IT</c:v>
                </c:pt>
                <c:pt idx="3">
                  <c:v>Marketing</c:v>
                </c:pt>
                <c:pt idx="4">
                  <c:v>Operations</c:v>
                </c:pt>
                <c:pt idx="5">
                  <c:v>R&amp;D</c:v>
                </c:pt>
                <c:pt idx="6">
                  <c:v>Sales</c:v>
                </c:pt>
              </c:strCache>
            </c:strRef>
          </c:cat>
          <c:val>
            <c:numRef>
              <c:f>Aanlysis!$E$10:$E$17</c:f>
              <c:numCache>
                <c:formatCode>\$#,##0;\(\$#,##0\);\$#,##0</c:formatCode>
                <c:ptCount val="7"/>
                <c:pt idx="0">
                  <c:v>9484.5245901639337</c:v>
                </c:pt>
                <c:pt idx="1">
                  <c:v>8216.0689655172409</c:v>
                </c:pt>
                <c:pt idx="2">
                  <c:v>12152.5</c:v>
                </c:pt>
                <c:pt idx="3">
                  <c:v>8973.9125000000004</c:v>
                </c:pt>
                <c:pt idx="4">
                  <c:v>9319.7285714285717</c:v>
                </c:pt>
                <c:pt idx="5">
                  <c:v>11623.743243243243</c:v>
                </c:pt>
                <c:pt idx="6">
                  <c:v>9154.7792207792209</c:v>
                </c:pt>
              </c:numCache>
            </c:numRef>
          </c:val>
          <c:extLst>
            <c:ext xmlns:c16="http://schemas.microsoft.com/office/drawing/2014/chart" uri="{C3380CC4-5D6E-409C-BE32-E72D297353CC}">
              <c16:uniqueId val="{00000000-E4AB-471B-BD8D-BEDFFF43B57F}"/>
            </c:ext>
          </c:extLst>
        </c:ser>
        <c:dLbls>
          <c:dLblPos val="outEnd"/>
          <c:showLegendKey val="0"/>
          <c:showVal val="1"/>
          <c:showCatName val="0"/>
          <c:showSerName val="0"/>
          <c:showPercent val="0"/>
          <c:showBubbleSize val="0"/>
        </c:dLbls>
        <c:gapWidth val="219"/>
        <c:overlap val="-27"/>
        <c:axId val="50060224"/>
        <c:axId val="50070304"/>
      </c:barChart>
      <c:catAx>
        <c:axId val="500602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070304"/>
        <c:crosses val="autoZero"/>
        <c:auto val="1"/>
        <c:lblAlgn val="ctr"/>
        <c:lblOffset val="100"/>
        <c:noMultiLvlLbl val="0"/>
      </c:catAx>
      <c:valAx>
        <c:axId val="50070304"/>
        <c:scaling>
          <c:orientation val="minMax"/>
        </c:scaling>
        <c:delete val="1"/>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500602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Analysis.xlsx]Aanlysis!PivotTable11</c:name>
    <c:fmtId val="2"/>
  </c:pivotSource>
  <c:chart>
    <c:title>
      <c:tx>
        <c:rich>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r>
              <a:rPr lang="en-US" sz="2000"/>
              <a:t>Top 10 Jobs</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pivotFmt>
    </c:pivotFmts>
    <c:plotArea>
      <c:layout>
        <c:manualLayout>
          <c:layoutTarget val="inner"/>
          <c:xMode val="edge"/>
          <c:yMode val="edge"/>
          <c:x val="0.30426416936966189"/>
          <c:y val="3.5811989736762515E-2"/>
          <c:w val="0.670089181678034"/>
          <c:h val="0.95370413869028903"/>
        </c:manualLayout>
      </c:layout>
      <c:barChart>
        <c:barDir val="bar"/>
        <c:grouping val="clustered"/>
        <c:varyColors val="0"/>
        <c:ser>
          <c:idx val="0"/>
          <c:order val="0"/>
          <c:tx>
            <c:strRef>
              <c:f>Aanlysis!$H$12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Aanlysis!$G$13:$G$34</c:f>
              <c:strCache>
                <c:ptCount val="21"/>
                <c:pt idx="0">
                  <c:v>Account Manager</c:v>
                </c:pt>
                <c:pt idx="1">
                  <c:v>Accountant</c:v>
                </c:pt>
                <c:pt idx="2">
                  <c:v>Data Scientist</c:v>
                </c:pt>
                <c:pt idx="3">
                  <c:v>Finance Manager</c:v>
                </c:pt>
                <c:pt idx="4">
                  <c:v>Financial Analyst</c:v>
                </c:pt>
                <c:pt idx="5">
                  <c:v>HR Assistant</c:v>
                </c:pt>
                <c:pt idx="6">
                  <c:v>HR Manager</c:v>
                </c:pt>
                <c:pt idx="7">
                  <c:v>IT Manager</c:v>
                </c:pt>
                <c:pt idx="8">
                  <c:v>Logistics Coordinator</c:v>
                </c:pt>
                <c:pt idx="9">
                  <c:v>Marketing Executive</c:v>
                </c:pt>
                <c:pt idx="10">
                  <c:v>Marketing Manager</c:v>
                </c:pt>
                <c:pt idx="11">
                  <c:v>Operations Executive</c:v>
                </c:pt>
                <c:pt idx="12">
                  <c:v>Operations Manager</c:v>
                </c:pt>
                <c:pt idx="13">
                  <c:v>R&amp;D Manager</c:v>
                </c:pt>
                <c:pt idx="14">
                  <c:v>Recruiter</c:v>
                </c:pt>
                <c:pt idx="15">
                  <c:v>Research Analyst</c:v>
                </c:pt>
                <c:pt idx="16">
                  <c:v>Sales Executive</c:v>
                </c:pt>
                <c:pt idx="17">
                  <c:v>Sales Manager</c:v>
                </c:pt>
                <c:pt idx="18">
                  <c:v>SEO Specialist</c:v>
                </c:pt>
                <c:pt idx="19">
                  <c:v>Software Engineer</c:v>
                </c:pt>
                <c:pt idx="20">
                  <c:v>System Admin</c:v>
                </c:pt>
              </c:strCache>
            </c:strRef>
          </c:cat>
          <c:val>
            <c:numRef>
              <c:f>Aanlysis!$H$13:$H$34</c:f>
              <c:numCache>
                <c:formatCode>\$#,##0;\(\$#,##0\);\$#,##0</c:formatCode>
                <c:ptCount val="21"/>
                <c:pt idx="0">
                  <c:v>8907.5161290322576</c:v>
                </c:pt>
                <c:pt idx="1">
                  <c:v>9341.5789473684217</c:v>
                </c:pt>
                <c:pt idx="2">
                  <c:v>12049.6</c:v>
                </c:pt>
                <c:pt idx="3">
                  <c:v>9126.2307692307695</c:v>
                </c:pt>
                <c:pt idx="4">
                  <c:v>10236.5</c:v>
                </c:pt>
                <c:pt idx="5">
                  <c:v>7696.3888888888887</c:v>
                </c:pt>
                <c:pt idx="6">
                  <c:v>8237.105263157895</c:v>
                </c:pt>
                <c:pt idx="7">
                  <c:v>11926.208333333334</c:v>
                </c:pt>
                <c:pt idx="8">
                  <c:v>9542.3214285714294</c:v>
                </c:pt>
                <c:pt idx="9">
                  <c:v>7453.2352941176468</c:v>
                </c:pt>
                <c:pt idx="10">
                  <c:v>9350.4838709677424</c:v>
                </c:pt>
                <c:pt idx="11">
                  <c:v>8808.3684210526317</c:v>
                </c:pt>
                <c:pt idx="12">
                  <c:v>9471.173913043478</c:v>
                </c:pt>
                <c:pt idx="13">
                  <c:v>12414.541666666666</c:v>
                </c:pt>
                <c:pt idx="14">
                  <c:v>8642.4761904761908</c:v>
                </c:pt>
                <c:pt idx="15">
                  <c:v>10707.2</c:v>
                </c:pt>
                <c:pt idx="16">
                  <c:v>10007.846153846154</c:v>
                </c:pt>
                <c:pt idx="17">
                  <c:v>8429.0499999999993</c:v>
                </c:pt>
                <c:pt idx="18">
                  <c:v>9416.96875</c:v>
                </c:pt>
                <c:pt idx="19">
                  <c:v>11956.181818181818</c:v>
                </c:pt>
                <c:pt idx="20">
                  <c:v>12670.304347826086</c:v>
                </c:pt>
              </c:numCache>
            </c:numRef>
          </c:val>
          <c:extLst>
            <c:ext xmlns:c16="http://schemas.microsoft.com/office/drawing/2014/chart" uri="{C3380CC4-5D6E-409C-BE32-E72D297353CC}">
              <c16:uniqueId val="{00000000-6CE2-45F8-AAA2-22AD527A8BBB}"/>
            </c:ext>
          </c:extLst>
        </c:ser>
        <c:dLbls>
          <c:dLblPos val="outEnd"/>
          <c:showLegendKey val="0"/>
          <c:showVal val="1"/>
          <c:showCatName val="0"/>
          <c:showSerName val="0"/>
          <c:showPercent val="0"/>
          <c:showBubbleSize val="0"/>
        </c:dLbls>
        <c:gapWidth val="182"/>
        <c:axId val="55515056"/>
        <c:axId val="55510736"/>
      </c:barChart>
      <c:catAx>
        <c:axId val="5551505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lumMod val="65000"/>
                    <a:lumOff val="35000"/>
                  </a:schemeClr>
                </a:solidFill>
                <a:latin typeface="+mn-lt"/>
                <a:ea typeface="+mn-ea"/>
                <a:cs typeface="+mn-cs"/>
              </a:defRPr>
            </a:pPr>
            <a:endParaRPr lang="en-US"/>
          </a:p>
        </c:txPr>
        <c:crossAx val="55510736"/>
        <c:crosses val="autoZero"/>
        <c:auto val="1"/>
        <c:lblAlgn val="ctr"/>
        <c:lblOffset val="100"/>
        <c:noMultiLvlLbl val="0"/>
      </c:catAx>
      <c:valAx>
        <c:axId val="55510736"/>
        <c:scaling>
          <c:orientation val="minMax"/>
        </c:scaling>
        <c:delete val="1"/>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crossAx val="555150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sz="1200" b="1"/>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Analysis.xlsx]Aanlysis!PivotTable13</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0"/>
              <a:t>Gender Ratio of Employees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Aanlysis!$K$17</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39F-4F83-91E6-4E4F73625C1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39F-4F83-91E6-4E4F73625C19}"/>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Aanlysis!$J$18:$J$20</c:f>
              <c:strCache>
                <c:ptCount val="2"/>
                <c:pt idx="0">
                  <c:v>Female</c:v>
                </c:pt>
                <c:pt idx="1">
                  <c:v>Male</c:v>
                </c:pt>
              </c:strCache>
            </c:strRef>
          </c:cat>
          <c:val>
            <c:numRef>
              <c:f>Aanlysis!$K$18:$K$20</c:f>
              <c:numCache>
                <c:formatCode>0.00%</c:formatCode>
                <c:ptCount val="2"/>
                <c:pt idx="0">
                  <c:v>0.52200000000000002</c:v>
                </c:pt>
                <c:pt idx="1">
                  <c:v>0.47799999999999998</c:v>
                </c:pt>
              </c:numCache>
            </c:numRef>
          </c:val>
          <c:extLst>
            <c:ext xmlns:c16="http://schemas.microsoft.com/office/drawing/2014/chart" uri="{C3380CC4-5D6E-409C-BE32-E72D297353CC}">
              <c16:uniqueId val="{00000004-939F-4F83-91E6-4E4F73625C19}"/>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[HR Analysis.xlsx]Aanlysis!PivotTable12</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Salary Distribution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pieChart>
        <c:varyColors val="1"/>
        <c:ser>
          <c:idx val="0"/>
          <c:order val="0"/>
          <c:tx>
            <c:strRef>
              <c:f>Aanlysis!$K$12</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95F7-44F8-BB68-6CB1EF37F7E3}"/>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95F7-44F8-BB68-6CB1EF37F7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Aanlysis!$J$13:$J$15</c:f>
              <c:strCache>
                <c:ptCount val="2"/>
                <c:pt idx="0">
                  <c:v>Female</c:v>
                </c:pt>
                <c:pt idx="1">
                  <c:v>Male</c:v>
                </c:pt>
              </c:strCache>
            </c:strRef>
          </c:cat>
          <c:val>
            <c:numRef>
              <c:f>Aanlysis!$K$13:$K$15</c:f>
              <c:numCache>
                <c:formatCode>0.00%</c:formatCode>
                <c:ptCount val="2"/>
                <c:pt idx="0">
                  <c:v>0.52770179361579894</c:v>
                </c:pt>
                <c:pt idx="1">
                  <c:v>0.47229820638420106</c:v>
                </c:pt>
              </c:numCache>
            </c:numRef>
          </c:val>
          <c:extLst>
            <c:ext xmlns:c16="http://schemas.microsoft.com/office/drawing/2014/chart" uri="{C3380CC4-5D6E-409C-BE32-E72D297353CC}">
              <c16:uniqueId val="{00000004-95F7-44F8-BB68-6CB1EF37F7E3}"/>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4.xml"/><Relationship Id="rId7" Type="http://schemas.openxmlformats.org/officeDocument/2006/relationships/chart" Target="../charts/chart8.xml"/><Relationship Id="rId2" Type="http://schemas.openxmlformats.org/officeDocument/2006/relationships/chart" Target="../charts/chart3.xml"/><Relationship Id="rId1" Type="http://schemas.openxmlformats.org/officeDocument/2006/relationships/chart" Target="../charts/chart2.xml"/><Relationship Id="rId6" Type="http://schemas.openxmlformats.org/officeDocument/2006/relationships/chart" Target="../charts/chart7.xml"/><Relationship Id="rId5" Type="http://schemas.openxmlformats.org/officeDocument/2006/relationships/chart" Target="../charts/chart6.xml"/><Relationship Id="rId4"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11</xdr:col>
      <xdr:colOff>571500</xdr:colOff>
      <xdr:row>4</xdr:row>
      <xdr:rowOff>99060</xdr:rowOff>
    </xdr:from>
    <xdr:to>
      <xdr:col>19</xdr:col>
      <xdr:colOff>266700</xdr:colOff>
      <xdr:row>19</xdr:row>
      <xdr:rowOff>99060</xdr:rowOff>
    </xdr:to>
    <xdr:graphicFrame macro="">
      <xdr:nvGraphicFramePr>
        <xdr:cNvPr id="12" name="Chart 11">
          <a:extLst>
            <a:ext uri="{FF2B5EF4-FFF2-40B4-BE49-F238E27FC236}">
              <a16:creationId xmlns:a16="http://schemas.microsoft.com/office/drawing/2014/main" id="{A8A82890-B6E5-7542-80D1-6FC36F1FD97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14</xdr:col>
      <xdr:colOff>300182</xdr:colOff>
      <xdr:row>23</xdr:row>
      <xdr:rowOff>92364</xdr:rowOff>
    </xdr:from>
    <xdr:to>
      <xdr:col>49</xdr:col>
      <xdr:colOff>346364</xdr:colOff>
      <xdr:row>105</xdr:row>
      <xdr:rowOff>115454</xdr:rowOff>
    </xdr:to>
    <xdr:grpSp>
      <xdr:nvGrpSpPr>
        <xdr:cNvPr id="27" name="Group 26">
          <a:extLst>
            <a:ext uri="{FF2B5EF4-FFF2-40B4-BE49-F238E27FC236}">
              <a16:creationId xmlns:a16="http://schemas.microsoft.com/office/drawing/2014/main" id="{43EF5396-665A-AC63-FA89-E10C07665045}"/>
            </a:ext>
          </a:extLst>
        </xdr:cNvPr>
        <xdr:cNvGrpSpPr/>
      </xdr:nvGrpSpPr>
      <xdr:grpSpPr>
        <a:xfrm>
          <a:off x="8779874" y="4136826"/>
          <a:ext cx="21245413" cy="15458474"/>
          <a:chOff x="8602646" y="4472531"/>
          <a:chExt cx="18321354" cy="13417593"/>
        </a:xfrm>
      </xdr:grpSpPr>
      <xdr:graphicFrame macro="">
        <xdr:nvGraphicFramePr>
          <xdr:cNvPr id="2" name="Chart 1">
            <a:extLst>
              <a:ext uri="{FF2B5EF4-FFF2-40B4-BE49-F238E27FC236}">
                <a16:creationId xmlns:a16="http://schemas.microsoft.com/office/drawing/2014/main" id="{8A78B609-37FB-419D-BBED-CCC5DF97B283}"/>
              </a:ext>
            </a:extLst>
          </xdr:cNvPr>
          <xdr:cNvGraphicFramePr>
            <a:graphicFrameLocks/>
          </xdr:cNvGraphicFramePr>
        </xdr:nvGraphicFramePr>
        <xdr:xfrm>
          <a:off x="8674966" y="4512830"/>
          <a:ext cx="4998701" cy="6769965"/>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 name="Chart 2">
            <a:extLst>
              <a:ext uri="{FF2B5EF4-FFF2-40B4-BE49-F238E27FC236}">
                <a16:creationId xmlns:a16="http://schemas.microsoft.com/office/drawing/2014/main" id="{5A0536AB-EF52-4EA4-B079-75E97F71E20C}"/>
              </a:ext>
            </a:extLst>
          </xdr:cNvPr>
          <xdr:cNvGraphicFramePr>
            <a:graphicFrameLocks/>
          </xdr:cNvGraphicFramePr>
        </xdr:nvGraphicFramePr>
        <xdr:xfrm>
          <a:off x="14888503" y="11423587"/>
          <a:ext cx="7057962" cy="6462632"/>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4" name="Chart 3">
            <a:extLst>
              <a:ext uri="{FF2B5EF4-FFF2-40B4-BE49-F238E27FC236}">
                <a16:creationId xmlns:a16="http://schemas.microsoft.com/office/drawing/2014/main" id="{32B405F7-39D1-442F-B871-6AABF5A420FD}"/>
              </a:ext>
            </a:extLst>
          </xdr:cNvPr>
          <xdr:cNvGraphicFramePr>
            <a:graphicFrameLocks/>
          </xdr:cNvGraphicFramePr>
        </xdr:nvGraphicFramePr>
        <xdr:xfrm>
          <a:off x="13747750" y="4496955"/>
          <a:ext cx="8165523" cy="6794499"/>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5" name="Chart 4">
            <a:extLst>
              <a:ext uri="{FF2B5EF4-FFF2-40B4-BE49-F238E27FC236}">
                <a16:creationId xmlns:a16="http://schemas.microsoft.com/office/drawing/2014/main" id="{FC961E3E-E366-4414-B77F-01EB0631D215}"/>
              </a:ext>
            </a:extLst>
          </xdr:cNvPr>
          <xdr:cNvGraphicFramePr>
            <a:graphicFrameLocks/>
          </xdr:cNvGraphicFramePr>
        </xdr:nvGraphicFramePr>
        <xdr:xfrm>
          <a:off x="8602646" y="11437698"/>
          <a:ext cx="6130635" cy="6451343"/>
        </xdr:xfrm>
        <a:graphic>
          <a:graphicData uri="http://schemas.openxmlformats.org/drawingml/2006/chart">
            <c:chart xmlns:c="http://schemas.openxmlformats.org/drawingml/2006/chart" xmlns:r="http://schemas.openxmlformats.org/officeDocument/2006/relationships" r:id="rId4"/>
          </a:graphicData>
        </a:graphic>
      </xdr:graphicFrame>
      <xdr:graphicFrame macro="">
        <xdr:nvGraphicFramePr>
          <xdr:cNvPr id="6" name="Chart 5">
            <a:extLst>
              <a:ext uri="{FF2B5EF4-FFF2-40B4-BE49-F238E27FC236}">
                <a16:creationId xmlns:a16="http://schemas.microsoft.com/office/drawing/2014/main" id="{7B483524-B619-4092-9A04-E529BF2800BE}"/>
              </a:ext>
            </a:extLst>
          </xdr:cNvPr>
          <xdr:cNvGraphicFramePr>
            <a:graphicFrameLocks/>
          </xdr:cNvGraphicFramePr>
        </xdr:nvGraphicFramePr>
        <xdr:xfrm>
          <a:off x="22023399" y="4472531"/>
          <a:ext cx="4900601" cy="1341759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14</xdr:col>
      <xdr:colOff>454713</xdr:colOff>
      <xdr:row>14</xdr:row>
      <xdr:rowOff>19537</xdr:rowOff>
    </xdr:from>
    <xdr:to>
      <xdr:col>43</xdr:col>
      <xdr:colOff>300181</xdr:colOff>
      <xdr:row>22</xdr:row>
      <xdr:rowOff>138545</xdr:rowOff>
    </xdr:to>
    <xdr:sp macro="" textlink="">
      <xdr:nvSpPr>
        <xdr:cNvPr id="7" name="Rectangle 6">
          <a:extLst>
            <a:ext uri="{FF2B5EF4-FFF2-40B4-BE49-F238E27FC236}">
              <a16:creationId xmlns:a16="http://schemas.microsoft.com/office/drawing/2014/main" id="{3442D7B0-67AD-C54B-20C9-563D7461165B}"/>
            </a:ext>
          </a:extLst>
        </xdr:cNvPr>
        <xdr:cNvSpPr/>
      </xdr:nvSpPr>
      <xdr:spPr>
        <a:xfrm>
          <a:off x="8859804" y="2605719"/>
          <a:ext cx="17256013" cy="1596826"/>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US" sz="8800" b="1"/>
            <a:t>Salary</a:t>
          </a:r>
          <a:r>
            <a:rPr lang="en-US" sz="8800" b="1" baseline="0"/>
            <a:t>  Analysis Dashboard</a:t>
          </a:r>
          <a:endParaRPr lang="en-US" sz="8800" b="1"/>
        </a:p>
      </xdr:txBody>
    </xdr:sp>
    <xdr:clientData/>
  </xdr:twoCellAnchor>
  <xdr:twoCellAnchor>
    <xdr:from>
      <xdr:col>6</xdr:col>
      <xdr:colOff>493890</xdr:colOff>
      <xdr:row>25</xdr:row>
      <xdr:rowOff>98778</xdr:rowOff>
    </xdr:from>
    <xdr:to>
      <xdr:col>14</xdr:col>
      <xdr:colOff>117232</xdr:colOff>
      <xdr:row>67</xdr:row>
      <xdr:rowOff>31263</xdr:rowOff>
    </xdr:to>
    <xdr:grpSp>
      <xdr:nvGrpSpPr>
        <xdr:cNvPr id="26" name="Group 25">
          <a:extLst>
            <a:ext uri="{FF2B5EF4-FFF2-40B4-BE49-F238E27FC236}">
              <a16:creationId xmlns:a16="http://schemas.microsoft.com/office/drawing/2014/main" id="{840AC84D-83CD-9A5C-7A3B-6C56E13C7C1C}"/>
            </a:ext>
          </a:extLst>
        </xdr:cNvPr>
        <xdr:cNvGrpSpPr/>
      </xdr:nvGrpSpPr>
      <xdr:grpSpPr>
        <a:xfrm>
          <a:off x="4128044" y="4494932"/>
          <a:ext cx="4468880" cy="7318023"/>
          <a:chOff x="4614333" y="4500359"/>
          <a:chExt cx="3997787" cy="7821682"/>
        </a:xfrm>
      </xdr:grpSpPr>
      <xdr:sp macro="" textlink="">
        <xdr:nvSpPr>
          <xdr:cNvPr id="8" name="Rectangle: Rounded Corners 7">
            <a:extLst>
              <a:ext uri="{FF2B5EF4-FFF2-40B4-BE49-F238E27FC236}">
                <a16:creationId xmlns:a16="http://schemas.microsoft.com/office/drawing/2014/main" id="{E30DE1C6-BFCA-72BA-B6C7-BF14D926B89C}"/>
              </a:ext>
            </a:extLst>
          </xdr:cNvPr>
          <xdr:cNvSpPr/>
        </xdr:nvSpPr>
        <xdr:spPr>
          <a:xfrm>
            <a:off x="4696828" y="4500359"/>
            <a:ext cx="3915292" cy="18344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t>TotalSalary</a:t>
            </a:r>
            <a:endParaRPr lang="en-US" sz="1100" b="1"/>
          </a:p>
        </xdr:txBody>
      </xdr:sp>
      <xdr:sp macro="" textlink="">
        <xdr:nvSpPr>
          <xdr:cNvPr id="15" name="Rectangle: Rounded Corners 14">
            <a:extLst>
              <a:ext uri="{FF2B5EF4-FFF2-40B4-BE49-F238E27FC236}">
                <a16:creationId xmlns:a16="http://schemas.microsoft.com/office/drawing/2014/main" id="{E84B55B9-0445-4BEC-8BB7-8BF87EEAA485}"/>
              </a:ext>
            </a:extLst>
          </xdr:cNvPr>
          <xdr:cNvSpPr/>
        </xdr:nvSpPr>
        <xdr:spPr>
          <a:xfrm>
            <a:off x="4673382" y="8493152"/>
            <a:ext cx="3915292" cy="1834445"/>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t>Locations</a:t>
            </a:r>
            <a:endParaRPr lang="en-US" sz="1200" b="1"/>
          </a:p>
        </xdr:txBody>
      </xdr:sp>
      <xdr:sp macro="" textlink="Aanlysis!$A$5">
        <xdr:nvSpPr>
          <xdr:cNvPr id="16" name="TextBox 15">
            <a:extLst>
              <a:ext uri="{FF2B5EF4-FFF2-40B4-BE49-F238E27FC236}">
                <a16:creationId xmlns:a16="http://schemas.microsoft.com/office/drawing/2014/main" id="{08D6564B-0FF0-48CF-BBCF-0428E07C71D1}"/>
              </a:ext>
            </a:extLst>
          </xdr:cNvPr>
          <xdr:cNvSpPr txBox="1"/>
        </xdr:nvSpPr>
        <xdr:spPr>
          <a:xfrm>
            <a:off x="5460999" y="9354581"/>
            <a:ext cx="2271889" cy="77719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54F59354-3C9F-44EC-A307-2B05E1303335}" type="TxLink">
              <a:rPr lang="en-US" sz="4400" b="1" i="0" u="none" strike="noStrike">
                <a:solidFill>
                  <a:srgbClr val="000000"/>
                </a:solidFill>
                <a:latin typeface="Aptos Narrow"/>
              </a:rPr>
              <a:pPr algn="ctr"/>
              <a:t>7</a:t>
            </a:fld>
            <a:endParaRPr lang="en-US" sz="4400" b="1"/>
          </a:p>
        </xdr:txBody>
      </xdr:sp>
      <xdr:sp macro="" textlink="">
        <xdr:nvSpPr>
          <xdr:cNvPr id="17" name="Rectangle: Rounded Corners 16">
            <a:extLst>
              <a:ext uri="{FF2B5EF4-FFF2-40B4-BE49-F238E27FC236}">
                <a16:creationId xmlns:a16="http://schemas.microsoft.com/office/drawing/2014/main" id="{99DB570B-5A13-425A-881D-0543238B920C}"/>
              </a:ext>
            </a:extLst>
          </xdr:cNvPr>
          <xdr:cNvSpPr/>
        </xdr:nvSpPr>
        <xdr:spPr>
          <a:xfrm>
            <a:off x="4614333" y="6561667"/>
            <a:ext cx="3989972" cy="1783210"/>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t>Employes</a:t>
            </a:r>
            <a:endParaRPr lang="en-US" sz="1100" b="1"/>
          </a:p>
        </xdr:txBody>
      </xdr:sp>
      <xdr:sp macro="" textlink="">
        <xdr:nvSpPr>
          <xdr:cNvPr id="19" name="Rectangle: Rounded Corners 18">
            <a:extLst>
              <a:ext uri="{FF2B5EF4-FFF2-40B4-BE49-F238E27FC236}">
                <a16:creationId xmlns:a16="http://schemas.microsoft.com/office/drawing/2014/main" id="{A79CAA05-0F70-4270-8B9A-4A9C4331371E}"/>
              </a:ext>
            </a:extLst>
          </xdr:cNvPr>
          <xdr:cNvSpPr/>
        </xdr:nvSpPr>
        <xdr:spPr>
          <a:xfrm>
            <a:off x="4669475" y="10487595"/>
            <a:ext cx="3915292" cy="1834446"/>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US" sz="4000" b="1"/>
              <a:t>Department</a:t>
            </a:r>
            <a:endParaRPr lang="en-US" sz="1100" b="1"/>
          </a:p>
        </xdr:txBody>
      </xdr:sp>
      <xdr:sp macro="" textlink="Aanlysis!$C$5">
        <xdr:nvSpPr>
          <xdr:cNvPr id="20" name="TextBox 19">
            <a:extLst>
              <a:ext uri="{FF2B5EF4-FFF2-40B4-BE49-F238E27FC236}">
                <a16:creationId xmlns:a16="http://schemas.microsoft.com/office/drawing/2014/main" id="{41F6C716-3D22-44E6-8FE5-3C68288D7216}"/>
              </a:ext>
            </a:extLst>
          </xdr:cNvPr>
          <xdr:cNvSpPr txBox="1"/>
        </xdr:nvSpPr>
        <xdr:spPr>
          <a:xfrm>
            <a:off x="5517443" y="11307342"/>
            <a:ext cx="2271890" cy="77285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C63FA147-D186-496C-99BC-561D6B0EC036}" type="TxLink">
              <a:rPr lang="en-US" sz="4400" b="1" i="0" u="none" strike="noStrike">
                <a:solidFill>
                  <a:srgbClr val="000000"/>
                </a:solidFill>
                <a:latin typeface="Aptos Narrow"/>
              </a:rPr>
              <a:pPr algn="ctr"/>
              <a:t>7</a:t>
            </a:fld>
            <a:endParaRPr lang="en-US" sz="4400" b="1"/>
          </a:p>
        </xdr:txBody>
      </xdr:sp>
      <xdr:sp macro="" textlink="Aanlysis!$E$2">
        <xdr:nvSpPr>
          <xdr:cNvPr id="21" name="TextBox 20">
            <a:extLst>
              <a:ext uri="{FF2B5EF4-FFF2-40B4-BE49-F238E27FC236}">
                <a16:creationId xmlns:a16="http://schemas.microsoft.com/office/drawing/2014/main" id="{334F0FB4-2DBD-4286-B2CB-BAB58E0C002D}"/>
              </a:ext>
            </a:extLst>
          </xdr:cNvPr>
          <xdr:cNvSpPr txBox="1"/>
        </xdr:nvSpPr>
        <xdr:spPr>
          <a:xfrm>
            <a:off x="5169324" y="5352955"/>
            <a:ext cx="2961508" cy="762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91B0399-E4F6-4221-A823-DC9AB47362A8}" type="TxLink">
              <a:rPr lang="en-US" sz="4400" b="1" i="0" u="none" strike="noStrike">
                <a:solidFill>
                  <a:srgbClr val="000000"/>
                </a:solidFill>
                <a:latin typeface="Aptos Narrow"/>
              </a:rPr>
              <a:pPr algn="ctr"/>
              <a:t>$4,962,657</a:t>
            </a:fld>
            <a:endParaRPr lang="en-US" sz="1600" b="1"/>
          </a:p>
        </xdr:txBody>
      </xdr:sp>
      <xdr:sp macro="" textlink="Aanlysis!$C$2">
        <xdr:nvSpPr>
          <xdr:cNvPr id="22" name="TextBox 21">
            <a:extLst>
              <a:ext uri="{FF2B5EF4-FFF2-40B4-BE49-F238E27FC236}">
                <a16:creationId xmlns:a16="http://schemas.microsoft.com/office/drawing/2014/main" id="{8662BB28-DB2E-4FCD-A17C-0D64673EF66C}"/>
              </a:ext>
            </a:extLst>
          </xdr:cNvPr>
          <xdr:cNvSpPr txBox="1"/>
        </xdr:nvSpPr>
        <xdr:spPr>
          <a:xfrm>
            <a:off x="5573889" y="7351889"/>
            <a:ext cx="2060222" cy="76199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fld id="{2DA20870-9B30-4D97-A9DF-1377EE5E670A}" type="TxLink">
              <a:rPr lang="en-US" sz="4400" b="1" i="0" u="none" strike="noStrike">
                <a:solidFill>
                  <a:srgbClr val="000000"/>
                </a:solidFill>
                <a:latin typeface="Aptos Narrow"/>
              </a:rPr>
              <a:pPr algn="ctr"/>
              <a:t>500</a:t>
            </a:fld>
            <a:endParaRPr lang="en-US" sz="4800" b="1"/>
          </a:p>
        </xdr:txBody>
      </xdr:sp>
    </xdr:grpSp>
    <xdr:clientData/>
  </xdr:twoCellAnchor>
  <xdr:twoCellAnchor>
    <xdr:from>
      <xdr:col>49</xdr:col>
      <xdr:colOff>488007</xdr:colOff>
      <xdr:row>25</xdr:row>
      <xdr:rowOff>92363</xdr:rowOff>
    </xdr:from>
    <xdr:to>
      <xdr:col>55</xdr:col>
      <xdr:colOff>438725</xdr:colOff>
      <xdr:row>102</xdr:row>
      <xdr:rowOff>23090</xdr:rowOff>
    </xdr:to>
    <xdr:grpSp>
      <xdr:nvGrpSpPr>
        <xdr:cNvPr id="28" name="Group 27">
          <a:extLst>
            <a:ext uri="{FF2B5EF4-FFF2-40B4-BE49-F238E27FC236}">
              <a16:creationId xmlns:a16="http://schemas.microsoft.com/office/drawing/2014/main" id="{8B3CAF8F-81A9-6F3B-6D4E-CAFC5992A74F}"/>
            </a:ext>
          </a:extLst>
        </xdr:cNvPr>
        <xdr:cNvGrpSpPr/>
      </xdr:nvGrpSpPr>
      <xdr:grpSpPr>
        <a:xfrm>
          <a:off x="30166930" y="4488517"/>
          <a:ext cx="3584872" cy="14486881"/>
          <a:chOff x="26983438" y="4447565"/>
          <a:chExt cx="2533158" cy="11099557"/>
        </a:xfrm>
      </xdr:grpSpPr>
      <mc:AlternateContent xmlns:mc="http://schemas.openxmlformats.org/markup-compatibility/2006">
        <mc:Choice xmlns:a14="http://schemas.microsoft.com/office/drawing/2010/main" Requires="a14">
          <xdr:graphicFrame macro="">
            <xdr:nvGraphicFramePr>
              <xdr:cNvPr id="23" name="Job Title 1">
                <a:extLst>
                  <a:ext uri="{FF2B5EF4-FFF2-40B4-BE49-F238E27FC236}">
                    <a16:creationId xmlns:a16="http://schemas.microsoft.com/office/drawing/2014/main" id="{7355A4A0-EC92-41E3-A2A8-0512440C020E}"/>
                  </a:ext>
                </a:extLst>
              </xdr:cNvPr>
              <xdr:cNvGraphicFramePr/>
            </xdr:nvGraphicFramePr>
            <xdr:xfrm>
              <a:off x="27030476" y="4447565"/>
              <a:ext cx="2486120" cy="6407727"/>
            </xdr:xfrm>
            <a:graphic>
              <a:graphicData uri="http://schemas.microsoft.com/office/drawing/2010/slicer">
                <sle:slicer xmlns:sle="http://schemas.microsoft.com/office/drawing/2010/slicer" name="Job Title 1"/>
              </a:graphicData>
            </a:graphic>
          </xdr:graphicFrame>
        </mc:Choice>
        <mc:Fallback>
          <xdr:sp macro="" textlink="">
            <xdr:nvSpPr>
              <xdr:cNvPr id="0" name=""/>
              <xdr:cNvSpPr>
                <a:spLocks noTextEdit="1"/>
              </xdr:cNvSpPr>
            </xdr:nvSpPr>
            <xdr:spPr>
              <a:xfrm>
                <a:off x="30233497" y="4488517"/>
                <a:ext cx="3518305" cy="836321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4" name="Department 1">
                <a:extLst>
                  <a:ext uri="{FF2B5EF4-FFF2-40B4-BE49-F238E27FC236}">
                    <a16:creationId xmlns:a16="http://schemas.microsoft.com/office/drawing/2014/main" id="{F4C7BC4B-AB0B-4C27-BB4F-30831C0FCC31}"/>
                  </a:ext>
                </a:extLst>
              </xdr:cNvPr>
              <xdr:cNvGraphicFramePr/>
            </xdr:nvGraphicFramePr>
            <xdr:xfrm>
              <a:off x="27025130" y="10937943"/>
              <a:ext cx="2465596" cy="2281100"/>
            </xdr:xfrm>
            <a:graphic>
              <a:graphicData uri="http://schemas.microsoft.com/office/drawing/2010/slicer">
                <sle:slicer xmlns:sle="http://schemas.microsoft.com/office/drawing/2010/slicer" name="Department 1"/>
              </a:graphicData>
            </a:graphic>
          </xdr:graphicFrame>
        </mc:Choice>
        <mc:Fallback>
          <xdr:sp macro="" textlink="">
            <xdr:nvSpPr>
              <xdr:cNvPr id="0" name=""/>
              <xdr:cNvSpPr>
                <a:spLocks noTextEdit="1"/>
              </xdr:cNvSpPr>
            </xdr:nvSpPr>
            <xdr:spPr>
              <a:xfrm>
                <a:off x="30225932" y="12959606"/>
                <a:ext cx="3489260" cy="2977238"/>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25" name="Job Level 1">
                <a:extLst>
                  <a:ext uri="{FF2B5EF4-FFF2-40B4-BE49-F238E27FC236}">
                    <a16:creationId xmlns:a16="http://schemas.microsoft.com/office/drawing/2014/main" id="{7CC70F8E-8735-47C3-B0B5-1A38F612B755}"/>
                  </a:ext>
                </a:extLst>
              </xdr:cNvPr>
              <xdr:cNvGraphicFramePr/>
            </xdr:nvGraphicFramePr>
            <xdr:xfrm>
              <a:off x="26983438" y="13337168"/>
              <a:ext cx="2457899" cy="2209954"/>
            </xdr:xfrm>
            <a:graphic>
              <a:graphicData uri="http://schemas.microsoft.com/office/drawing/2010/slicer">
                <sle:slicer xmlns:sle="http://schemas.microsoft.com/office/drawing/2010/slicer" name="Job Level 1"/>
              </a:graphicData>
            </a:graphic>
          </xdr:graphicFrame>
        </mc:Choice>
        <mc:Fallback>
          <xdr:sp macro="" textlink="">
            <xdr:nvSpPr>
              <xdr:cNvPr id="0" name=""/>
              <xdr:cNvSpPr>
                <a:spLocks noTextEdit="1"/>
              </xdr:cNvSpPr>
            </xdr:nvSpPr>
            <xdr:spPr>
              <a:xfrm>
                <a:off x="30166930" y="16091018"/>
                <a:ext cx="3478367" cy="28843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6</xdr:col>
      <xdr:colOff>346363</xdr:colOff>
      <xdr:row>67</xdr:row>
      <xdr:rowOff>92364</xdr:rowOff>
    </xdr:from>
    <xdr:to>
      <xdr:col>14</xdr:col>
      <xdr:colOff>161637</xdr:colOff>
      <xdr:row>84</xdr:row>
      <xdr:rowOff>138545</xdr:rowOff>
    </xdr:to>
    <xdr:graphicFrame macro="">
      <xdr:nvGraphicFramePr>
        <xdr:cNvPr id="29" name="Chart 28">
          <a:extLst>
            <a:ext uri="{FF2B5EF4-FFF2-40B4-BE49-F238E27FC236}">
              <a16:creationId xmlns:a16="http://schemas.microsoft.com/office/drawing/2014/main" id="{3B529A61-4385-4099-9BF6-35AD46D1B4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299357</xdr:colOff>
      <xdr:row>85</xdr:row>
      <xdr:rowOff>40822</xdr:rowOff>
    </xdr:from>
    <xdr:to>
      <xdr:col>14</xdr:col>
      <xdr:colOff>136072</xdr:colOff>
      <xdr:row>105</xdr:row>
      <xdr:rowOff>138545</xdr:rowOff>
    </xdr:to>
    <xdr:graphicFrame macro="">
      <xdr:nvGraphicFramePr>
        <xdr:cNvPr id="30" name="Chart 29">
          <a:extLst>
            <a:ext uri="{FF2B5EF4-FFF2-40B4-BE49-F238E27FC236}">
              <a16:creationId xmlns:a16="http://schemas.microsoft.com/office/drawing/2014/main" id="{3641C2CA-B577-4321-A58F-7723DA547BC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wsDr>
</file>

<file path=xl/drawings/drawing3.xml><?xml version="1.0" encoding="utf-8"?>
<c:userShapes xmlns:c="http://schemas.openxmlformats.org/drawingml/2006/chart">
  <cdr:relSizeAnchor xmlns:cdr="http://schemas.openxmlformats.org/drawingml/2006/chartDrawing">
    <cdr:from>
      <cdr:x>0.08931</cdr:x>
      <cdr:y>0.46128</cdr:y>
    </cdr:from>
    <cdr:to>
      <cdr:x>1</cdr:x>
      <cdr:y>0.53872</cdr:y>
    </cdr:to>
    <cdr:sp macro="" textlink="">
      <cdr:nvSpPr>
        <cdr:cNvPr id="2" name="Rectangle 1">
          <a:extLst xmlns:a="http://schemas.openxmlformats.org/drawingml/2006/main">
            <a:ext uri="{FF2B5EF4-FFF2-40B4-BE49-F238E27FC236}">
              <a16:creationId xmlns:a16="http://schemas.microsoft.com/office/drawing/2014/main" id="{429263F4-B226-D517-0932-4DF5EE4A8839}"/>
            </a:ext>
          </a:extLst>
        </cdr:cNvPr>
        <cdr:cNvSpPr/>
      </cdr:nvSpPr>
      <cdr:spPr>
        <a:xfrm xmlns:a="http://schemas.openxmlformats.org/drawingml/2006/main">
          <a:off x="351605" y="5586122"/>
          <a:ext cx="3585307" cy="937693"/>
        </a:xfrm>
        <a:prstGeom xmlns:a="http://schemas.openxmlformats.org/drawingml/2006/main" prst="rect">
          <a:avLst/>
        </a:prstGeom>
        <a:noFill xmlns:a="http://schemas.openxmlformats.org/drawingml/2006/main"/>
      </cdr:spPr>
      <cdr:txBody>
        <a:bodyPr xmlns:a="http://schemas.openxmlformats.org/drawingml/2006/main" wrap="square" lIns="91440" tIns="45720" rIns="91440" bIns="45720">
          <a:spAutoFit/>
        </a:bodyPr>
        <a:lstStyle xmlns:a="http://schemas.openxmlformats.org/drawingml/2006/main"/>
        <a:p xmlns:a="http://schemas.openxmlformats.org/drawingml/2006/main">
          <a:pPr algn="ctr"/>
          <a:endParaRPr lang="en-GB" sz="5400" b="0" cap="none" spc="0">
            <a:ln w="0"/>
            <a:solidFill>
              <a:schemeClr val="accent1"/>
            </a:solidFill>
            <a:effectLst>
              <a:outerShdw blurRad="38100" dist="25400" dir="5400000" algn="ctr" rotWithShape="0">
                <a:srgbClr val="6E747A">
                  <a:alpha val="43000"/>
                </a:srgbClr>
              </a:outerShdw>
            </a:effectLst>
          </a:endParaRPr>
        </a:p>
      </cdr:txBody>
    </cdr:sp>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155587152774" backgroundQuery="1" createdVersion="8" refreshedVersion="8" minRefreshableVersion="3" recordCount="0" supportSubquery="1" supportAdvancedDrill="1" xr:uid="{4D5406F6-EDE7-474E-A767-94FA017E813E}">
  <cacheSource type="external" connectionId="3"/>
  <cacheFields count="2">
    <cacheField name="[HR Salary].[Job Title].[Job Title]" caption="Job Title" numFmtId="0" hierarchy="3" level="1">
      <sharedItems count="21">
        <s v="Account Manager"/>
        <s v="Accountant"/>
        <s v="Data Scientist"/>
        <s v="Finance Manager"/>
        <s v="Financial Analyst"/>
        <s v="HR Assistant"/>
        <s v="HR Manager"/>
        <s v="IT Manager"/>
        <s v="Logistics Coordinator"/>
        <s v="Marketing Executive"/>
        <s v="Marketing Manager"/>
        <s v="Operations Executive"/>
        <s v="Operations Manager"/>
        <s v="R&amp;D Manager"/>
        <s v="Recruiter"/>
        <s v="Research Analyst"/>
        <s v="Sales Executive"/>
        <s v="Sales Manager"/>
        <s v="SEO Specialist"/>
        <s v="Software Engineer"/>
        <s v="System Admin"/>
      </sharedItems>
    </cacheField>
    <cacheField name="[Measures].[AVG Salary]" caption="AVG Salary" numFmtId="0" hierarchy="17" level="32767"/>
  </cacheFields>
  <cacheHierarchies count="21">
    <cacheHierarchy uniqueName="[HR Salary].[Employee ID]" caption="Employee ID" attribute="1" defaultMemberUniqueName="[HR Salary].[Employee ID].[All]" allUniqueName="[HR Salary].[Employee ID].[All]" dimensionUniqueName="[HR Salary]" displayFolder="" count="2" memberValueDatatype="130" unbalanced="0"/>
    <cacheHierarchy uniqueName="[HR Salary].[Name]" caption="Name" attribute="1" defaultMemberUniqueName="[HR Salary].[Name].[All]" allUniqueName="[HR Salary].[Name].[All]" dimensionUniqueName="[HR Salary]" displayFolder="" count="2"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0"/>
      </fieldsUsage>
    </cacheHierarchy>
    <cacheHierarchy uniqueName="[HR Salary].[Gender]" caption="Gender" attribute="1" defaultMemberUniqueName="[HR Salary].[Gender].[All]" allUniqueName="[HR Salary].[Gender].[All]" dimensionUniqueName="[HR Salary]" displayFolder="" count="2" memberValueDatatype="130" unbalanced="0"/>
    <cacheHierarchy uniqueName="[HR Salary].[Age]" caption="Age" attribute="1" defaultMemberUniqueName="[HR Salary].[Age].[All]" allUniqueName="[HR Salary].[Age].[All]" dimensionUniqueName="[HR Salary]" displayFolder="" count="2" memberValueDatatype="20" unbalanced="0"/>
    <cacheHierarchy uniqueName="[HR Salary].[Experience (Years)]" caption="Experience (Years)" attribute="1" defaultMemberUniqueName="[HR Salary].[Experience (Years)].[All]" allUniqueName="[HR Salary].[Experience (Years)].[All]" dimensionUniqueName="[HR Salary]" displayFolder="" count="2" memberValueDatatype="20" unbalanced="0"/>
    <cacheHierarchy uniqueName="[HR Salary].[Salary]" caption="Salary" attribute="1" defaultMemberUniqueName="[HR Salary].[Salary].[All]" allUniqueName="[HR Salary].[Salary].[All]" dimensionUniqueName="[HR Salary]" displayFolder="" count="2" memberValueDatatype="20" unbalanced="0"/>
    <cacheHierarchy uniqueName="[HR Salary].[Location]" caption="Location" attribute="1" defaultMemberUniqueName="[HR Salary].[Location].[All]" allUniqueName="[HR Salary].[Location].[All]" dimensionUniqueName="[HR Salary]" displayFolder="" count="2" memberValueDatatype="130" unbalanced="0"/>
    <cacheHierarchy uniqueName="[HR Salary].[Education Level]" caption="Education Level" attribute="1" defaultMemberUniqueName="[HR Salary].[Education Level].[All]" allUniqueName="[HR Salary].[Education Level].[All]" dimensionUniqueName="[HR Salary]" displayFolder="" count="2" memberValueDatatype="130" unbalanced="0"/>
    <cacheHierarchy uniqueName="[HR Salary].[Outlier]" caption="Outlier" attribute="1" defaultMemberUniqueName="[HR Salary].[Outlier].[All]" allUniqueName="[HR Salary].[Outlier].[All]" dimensionUniqueName="[HR Salary]" displayFolder="" count="2" memberValueDatatype="130" unbalanced="0"/>
    <cacheHierarchy uniqueName="[Job Class].[Job Title]" caption="Job Title" attribute="1" defaultMemberUniqueName="[Job Class].[Job Title].[All]" allUniqueName="[Job Class].[Job Title].[All]" dimensionUniqueName="[Job Class]" displayFolder="" count="2"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TotalSalary]" caption="TotalSalary" measure="1" displayFolder="" measureGroup="HR Salary" count="0"/>
    <cacheHierarchy uniqueName="[Measures].[AVG Salary]" caption="AVG Salary" measure="1" displayFolder="" measureGroup="HR Salary" count="0" oneField="1">
      <fieldsUsage count="1">
        <fieldUsage x="1"/>
      </fieldsUsage>
    </cacheHierarchy>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155587499998" backgroundQuery="1" createdVersion="8" refreshedVersion="8" minRefreshableVersion="3" recordCount="0" supportSubquery="1" supportAdvancedDrill="1" xr:uid="{D46380C4-40FA-4DB8-9BA2-8CF39BA462BE}">
  <cacheSource type="external" connectionId="3"/>
  <cacheFields count="3">
    <cacheField name="[HR Salary].[Department].[Department]" caption="Department" numFmtId="0" hierarchy="2" level="1">
      <sharedItems count="7">
        <s v="Finance"/>
        <s v="HR"/>
        <s v="IT"/>
        <s v="Marketing"/>
        <s v="Operations"/>
        <s v="R&amp;D"/>
        <s v="Sales"/>
      </sharedItems>
    </cacheField>
    <cacheField name="[Measures].[AVG Salary]" caption="AVG Salary" numFmtId="0" hierarchy="17" level="32767"/>
    <cacheField name="[HR Salary].[Job Title].[Job Title]" caption="Job Title" numFmtId="0" hierarchy="3" level="1">
      <sharedItems containsSemiMixedTypes="0" containsNonDate="0" containsString="0"/>
    </cacheField>
  </cacheFields>
  <cacheHierarchies count="21">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fieldsUsage count="2">
        <fieldUsage x="-1"/>
        <fieldUsage x="0"/>
      </fieldsUsage>
    </cacheHierarchy>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2"/>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Outlier]" caption="Outlier" attribute="1" defaultMemberUniqueName="[HR Salary].[Outlier].[All]" allUniqueName="[HR Salary].[Outlier].[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TotalSalary]" caption="TotalSalary" measure="1" displayFolder="" measureGroup="HR Salary" count="0"/>
    <cacheHierarchy uniqueName="[Measures].[AVG Salary]" caption="AVG Salary" measure="1" displayFolder="" measureGroup="HR Salary" count="0" oneField="1">
      <fieldsUsage count="1">
        <fieldUsage x="1"/>
      </fieldsUsage>
    </cacheHierarchy>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155587499998" backgroundQuery="1" createdVersion="8" refreshedVersion="8" minRefreshableVersion="3" recordCount="0" supportSubquery="1" supportAdvancedDrill="1" xr:uid="{2305A04E-835E-47E9-8F97-9E5920A4AEB1}">
  <cacheSource type="external" connectionId="3"/>
  <cacheFields count="2">
    <cacheField name="[Measures].[Employees]" caption="Employees" numFmtId="0" hierarchy="13" level="32767"/>
    <cacheField name="[HR Salary].[Job Title].[Job Title]" caption="Job Title" numFmtId="0" hierarchy="3" level="1">
      <sharedItems containsSemiMixedTypes="0" containsNonDate="0" containsString="0"/>
    </cacheField>
  </cacheFields>
  <cacheHierarchies count="21">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1"/>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Outlier]" caption="Outlier" attribute="1" defaultMemberUniqueName="[HR Salary].[Outlier].[All]" allUniqueName="[HR Salary].[Outlier].[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Measures].[Employees]" caption="Employees" measure="1" displayFolder="" measureGroup="HR Salary" count="0" oneField="1">
      <fieldsUsage count="1">
        <fieldUsage x="0"/>
      </fieldsUsage>
    </cacheHierarchy>
    <cacheHierarchy uniqueName="[Measures].[Departments]" caption="Departments" measure="1" displayFolder="" measureGroup="HR Salary" count="0"/>
    <cacheHierarchy uniqueName="[Measures].[Locations]" caption="Locations" measure="1" displayFolder="" measureGroup="HR Salary" count="0"/>
    <cacheHierarchy uniqueName="[Measures].[TotalSalary]" caption="TotalSalary" measure="1" displayFolder="" measureGroup="HR Salary" count="0"/>
    <cacheHierarchy uniqueName="[Measures].[AVG Salary]" caption="AVG 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155587731482" backgroundQuery="1" createdVersion="8" refreshedVersion="8" minRefreshableVersion="3" recordCount="0" supportSubquery="1" supportAdvancedDrill="1" xr:uid="{50E9765A-F5B7-45FB-9F83-483CDD6D98D8}">
  <cacheSource type="external" connectionId="3"/>
  <cacheFields count="2">
    <cacheField name="[Measures].[Locations]" caption="Locations" numFmtId="0" hierarchy="15" level="32767"/>
    <cacheField name="[HR Salary].[Job Title].[Job Title]" caption="Job Title" numFmtId="0" hierarchy="3" level="1">
      <sharedItems containsSemiMixedTypes="0" containsNonDate="0" containsString="0"/>
    </cacheField>
  </cacheFields>
  <cacheHierarchies count="21">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1"/>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Outlier]" caption="Outlier" attribute="1" defaultMemberUniqueName="[HR Salary].[Outlier].[All]" allUniqueName="[HR Salary].[Outlier].[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oneField="1">
      <fieldsUsage count="1">
        <fieldUsage x="0"/>
      </fieldsUsage>
    </cacheHierarchy>
    <cacheHierarchy uniqueName="[Measures].[TotalSalary]" caption="TotalSalary" measure="1" displayFolder="" measureGroup="HR Salary" count="0"/>
    <cacheHierarchy uniqueName="[Measures].[AVG Salary]" caption="AVG 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155587731482" backgroundQuery="1" createdVersion="8" refreshedVersion="8" minRefreshableVersion="3" recordCount="0" supportSubquery="1" supportAdvancedDrill="1" xr:uid="{35364B8E-1584-4504-BC34-7DFC83910CBD}">
  <cacheSource type="external" connectionId="3"/>
  <cacheFields count="2">
    <cacheField name="[Measures].[Departments]" caption="Departments" numFmtId="0" hierarchy="14" level="32767"/>
    <cacheField name="[HR Salary].[Job Title].[Job Title]" caption="Job Title" numFmtId="0" hierarchy="3" level="1">
      <sharedItems containsSemiMixedTypes="0" containsNonDate="0" containsString="0"/>
    </cacheField>
  </cacheFields>
  <cacheHierarchies count="21">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1"/>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Outlier]" caption="Outlier" attribute="1" defaultMemberUniqueName="[HR Salary].[Outlier].[All]" allUniqueName="[HR Salary].[Outlier].[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Measures].[Employees]" caption="Employees" measure="1" displayFolder="" measureGroup="HR Salary" count="0"/>
    <cacheHierarchy uniqueName="[Measures].[Departments]" caption="Departments" measure="1" displayFolder="" measureGroup="HR Salary" count="0" oneField="1">
      <fieldsUsage count="1">
        <fieldUsage x="0"/>
      </fieldsUsage>
    </cacheHierarchy>
    <cacheHierarchy uniqueName="[Measures].[Locations]" caption="Locations" measure="1" displayFolder="" measureGroup="HR Salary" count="0"/>
    <cacheHierarchy uniqueName="[Measures].[TotalSalary]" caption="TotalSalary" measure="1" displayFolder="" measureGroup="HR Salary" count="0"/>
    <cacheHierarchy uniqueName="[Measures].[AVG Salary]" caption="AVG 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15558796296" backgroundQuery="1" createdVersion="8" refreshedVersion="8" minRefreshableVersion="3" recordCount="0" supportSubquery="1" supportAdvancedDrill="1" xr:uid="{0B2AE86B-0CB2-48B6-9766-CF50A6AEA6DE}">
  <cacheSource type="external" connectionId="3"/>
  <cacheFields count="2">
    <cacheField name="[Measures].[TotalSalary]" caption="TotalSalary" numFmtId="0" hierarchy="16" level="32767"/>
    <cacheField name="[HR Salary].[Job Title].[Job Title]" caption="Job Title" numFmtId="0" hierarchy="3" level="1">
      <sharedItems containsSemiMixedTypes="0" containsNonDate="0" containsString="0"/>
    </cacheField>
  </cacheFields>
  <cacheHierarchies count="21">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1"/>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Outlier]" caption="Outlier" attribute="1" defaultMemberUniqueName="[HR Salary].[Outlier].[All]" allUniqueName="[HR Salary].[Outlier].[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TotalSalary]" caption="TotalSalary" measure="1" displayFolder="" measureGroup="HR Salary" count="0" oneField="1">
      <fieldsUsage count="1">
        <fieldUsage x="0"/>
      </fieldsUsage>
    </cacheHierarchy>
    <cacheHierarchy uniqueName="[Measures].[AVG Salary]" caption="AVG 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155588310183" backgroundQuery="1" createdVersion="8" refreshedVersion="8" minRefreshableVersion="3" recordCount="0" supportSubquery="1" supportAdvancedDrill="1" xr:uid="{26D42D82-15B9-48A2-86E5-48829325DD19}">
  <cacheSource type="external" connectionId="3"/>
  <cacheFields count="3">
    <cacheField name="[HR Salary].[Location].[Location]" caption="Location" numFmtId="0" hierarchy="8" level="1">
      <sharedItems count="7">
        <s v="Denver"/>
        <s v="Fort Worth"/>
        <s v="Houston"/>
        <s v="Indianapolis"/>
        <s v="Philadelphia"/>
        <s v="San Jose"/>
        <s v="Seattle"/>
      </sharedItems>
    </cacheField>
    <cacheField name="[Measures].[AVG Salary]" caption="AVG Salary" numFmtId="0" hierarchy="17" level="32767"/>
    <cacheField name="[HR Salary].[Job Title].[Job Title]" caption="Job Title" numFmtId="0" hierarchy="3" level="1">
      <sharedItems containsSemiMixedTypes="0" containsNonDate="0" containsString="0"/>
    </cacheField>
  </cacheFields>
  <cacheHierarchies count="21">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2"/>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2" memberValueDatatype="130" unbalanced="0">
      <fieldsUsage count="2">
        <fieldUsage x="-1"/>
        <fieldUsage x="0"/>
      </fieldsUsage>
    </cacheHierarchy>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Outlier]" caption="Outlier" attribute="1" defaultMemberUniqueName="[HR Salary].[Outlier].[All]" allUniqueName="[HR Salary].[Outlier].[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TotalSalary]" caption="TotalSalary" measure="1" displayFolder="" measureGroup="HR Salary" count="0"/>
    <cacheHierarchy uniqueName="[Measures].[AVG Salary]" caption="AVG Salary" measure="1" displayFolder="" measureGroup="HR Salary" count="0" oneField="1">
      <fieldsUsage count="1">
        <fieldUsage x="1"/>
      </fieldsUsage>
    </cacheHierarchy>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155588657406" backgroundQuery="1" createdVersion="8" refreshedVersion="8" minRefreshableVersion="3" recordCount="0" supportSubquery="1" supportAdvancedDrill="1" xr:uid="{1CA1AF20-D6D4-46CE-BCBC-3ECFE5EDDDDD}">
  <cacheSource type="external" connectionId="3"/>
  <cacheFields count="3">
    <cacheField name="[HR Salary].[Education Level].[Education Level]" caption="Education Level" numFmtId="0" hierarchy="9" level="1">
      <sharedItems count="4">
        <s v="BSC"/>
        <s v="High School"/>
        <s v="Master"/>
        <s v="PhD"/>
      </sharedItems>
    </cacheField>
    <cacheField name="[Measures].[AVG Salary]" caption="AVG Salary" numFmtId="0" hierarchy="17" level="32767"/>
    <cacheField name="[HR Salary].[Job Title].[Job Title]" caption="Job Title" numFmtId="0" hierarchy="3" level="1">
      <sharedItems containsSemiMixedTypes="0" containsNonDate="0" containsString="0"/>
    </cacheField>
  </cacheFields>
  <cacheHierarchies count="21">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2"/>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2" memberValueDatatype="130" unbalanced="0">
      <fieldsUsage count="2">
        <fieldUsage x="-1"/>
        <fieldUsage x="0"/>
      </fieldsUsage>
    </cacheHierarchy>
    <cacheHierarchy uniqueName="[HR Salary].[Outlier]" caption="Outlier" attribute="1" defaultMemberUniqueName="[HR Salary].[Outlier].[All]" allUniqueName="[HR Salary].[Outlier].[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TotalSalary]" caption="TotalSalary" measure="1" displayFolder="" measureGroup="HR Salary" count="0"/>
    <cacheHierarchy uniqueName="[Measures].[AVG Salary]" caption="AVG Salary" measure="1" displayFolder="" measureGroup="HR Salary" count="0" oneField="1">
      <fieldsUsage count="1">
        <fieldUsage x="1"/>
      </fieldsUsage>
    </cacheHierarchy>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155589004629" backgroundQuery="1" createdVersion="8" refreshedVersion="8" minRefreshableVersion="3" recordCount="0" supportSubquery="1" supportAdvancedDrill="1" xr:uid="{F5EDFC7D-0070-4F5D-8926-C6F9FA7C8698}">
  <cacheSource type="external" connectionId="3"/>
  <cacheFields count="3">
    <cacheField name="[HR Salary].[Experience (Years)].[Experience (Years)]" caption="Experience (Years)" numFmtId="0" hierarchy="6" level="1">
      <sharedItems containsSemiMixedTypes="0" containsString="0" containsNumber="1" containsInteger="1" minValue="0" maxValue="37" count="36">
        <n v="0"/>
        <n v="1"/>
        <n v="2"/>
        <n v="3"/>
        <n v="4"/>
        <n v="5"/>
        <n v="6"/>
        <n v="7"/>
        <n v="8"/>
        <n v="9"/>
        <n v="10"/>
        <n v="11"/>
        <n v="12"/>
        <n v="13"/>
        <n v="14"/>
        <n v="15"/>
        <n v="16"/>
        <n v="17"/>
        <n v="18"/>
        <n v="19"/>
        <n v="20"/>
        <n v="21"/>
        <n v="22"/>
        <n v="23"/>
        <n v="24"/>
        <n v="25"/>
        <n v="26"/>
        <n v="27"/>
        <n v="28"/>
        <n v="29"/>
        <n v="30"/>
        <n v="31"/>
        <n v="32"/>
        <n v="33"/>
        <n v="34"/>
        <n v="37"/>
      </sharedItems>
      <extLst>
        <ext xmlns:x15="http://schemas.microsoft.com/office/spreadsheetml/2010/11/main" uri="{4F2E5C28-24EA-4eb8-9CBF-B6C8F9C3D259}">
          <x15:cachedUniqueNames>
            <x15:cachedUniqueName index="0" name="[HR Salary].[Experience (Years)].&amp;[0]"/>
            <x15:cachedUniqueName index="1" name="[HR Salary].[Experience (Years)].&amp;[1]"/>
            <x15:cachedUniqueName index="2" name="[HR Salary].[Experience (Years)].&amp;[2]"/>
            <x15:cachedUniqueName index="3" name="[HR Salary].[Experience (Years)].&amp;[3]"/>
            <x15:cachedUniqueName index="4" name="[HR Salary].[Experience (Years)].&amp;[4]"/>
            <x15:cachedUniqueName index="5" name="[HR Salary].[Experience (Years)].&amp;[5]"/>
            <x15:cachedUniqueName index="6" name="[HR Salary].[Experience (Years)].&amp;[6]"/>
            <x15:cachedUniqueName index="7" name="[HR Salary].[Experience (Years)].&amp;[7]"/>
            <x15:cachedUniqueName index="8" name="[HR Salary].[Experience (Years)].&amp;[8]"/>
            <x15:cachedUniqueName index="9" name="[HR Salary].[Experience (Years)].&amp;[9]"/>
            <x15:cachedUniqueName index="10" name="[HR Salary].[Experience (Years)].&amp;[10]"/>
            <x15:cachedUniqueName index="11" name="[HR Salary].[Experience (Years)].&amp;[11]"/>
            <x15:cachedUniqueName index="12" name="[HR Salary].[Experience (Years)].&amp;[12]"/>
            <x15:cachedUniqueName index="13" name="[HR Salary].[Experience (Years)].&amp;[13]"/>
            <x15:cachedUniqueName index="14" name="[HR Salary].[Experience (Years)].&amp;[14]"/>
            <x15:cachedUniqueName index="15" name="[HR Salary].[Experience (Years)].&amp;[15]"/>
            <x15:cachedUniqueName index="16" name="[HR Salary].[Experience (Years)].&amp;[16]"/>
            <x15:cachedUniqueName index="17" name="[HR Salary].[Experience (Years)].&amp;[17]"/>
            <x15:cachedUniqueName index="18" name="[HR Salary].[Experience (Years)].&amp;[18]"/>
            <x15:cachedUniqueName index="19" name="[HR Salary].[Experience (Years)].&amp;[19]"/>
            <x15:cachedUniqueName index="20" name="[HR Salary].[Experience (Years)].&amp;[20]"/>
            <x15:cachedUniqueName index="21" name="[HR Salary].[Experience (Years)].&amp;[21]"/>
            <x15:cachedUniqueName index="22" name="[HR Salary].[Experience (Years)].&amp;[22]"/>
            <x15:cachedUniqueName index="23" name="[HR Salary].[Experience (Years)].&amp;[23]"/>
            <x15:cachedUniqueName index="24" name="[HR Salary].[Experience (Years)].&amp;[24]"/>
            <x15:cachedUniqueName index="25" name="[HR Salary].[Experience (Years)].&amp;[25]"/>
            <x15:cachedUniqueName index="26" name="[HR Salary].[Experience (Years)].&amp;[26]"/>
            <x15:cachedUniqueName index="27" name="[HR Salary].[Experience (Years)].&amp;[27]"/>
            <x15:cachedUniqueName index="28" name="[HR Salary].[Experience (Years)].&amp;[28]"/>
            <x15:cachedUniqueName index="29" name="[HR Salary].[Experience (Years)].&amp;[29]"/>
            <x15:cachedUniqueName index="30" name="[HR Salary].[Experience (Years)].&amp;[30]"/>
            <x15:cachedUniqueName index="31" name="[HR Salary].[Experience (Years)].&amp;[31]"/>
            <x15:cachedUniqueName index="32" name="[HR Salary].[Experience (Years)].&amp;[32]"/>
            <x15:cachedUniqueName index="33" name="[HR Salary].[Experience (Years)].&amp;[33]"/>
            <x15:cachedUniqueName index="34" name="[HR Salary].[Experience (Years)].&amp;[34]"/>
            <x15:cachedUniqueName index="35" name="[HR Salary].[Experience (Years)].&amp;[37]"/>
          </x15:cachedUniqueNames>
        </ext>
      </extLst>
    </cacheField>
    <cacheField name="[Measures].[AVG Salary]" caption="AVG Salary" numFmtId="0" hierarchy="17" level="32767"/>
    <cacheField name="[HR Salary].[Job Title].[Job Title]" caption="Job Title" numFmtId="0" hierarchy="3" level="1">
      <sharedItems containsSemiMixedTypes="0" containsNonDate="0" containsString="0"/>
    </cacheField>
  </cacheFields>
  <cacheHierarchies count="21">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fieldsUsage count="2">
        <fieldUsage x="-1"/>
        <fieldUsage x="2"/>
      </fieldsUsage>
    </cacheHierarchy>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2" memberValueDatatype="20" unbalanced="0">
      <fieldsUsage count="2">
        <fieldUsage x="-1"/>
        <fieldUsage x="0"/>
      </fieldsUsage>
    </cacheHierarchy>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Outlier]" caption="Outlier" attribute="1" defaultMemberUniqueName="[HR Salary].[Outlier].[All]" allUniqueName="[HR Salary].[Outlier].[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TotalSalary]" caption="TotalSalary" measure="1" displayFolder="" measureGroup="HR Salary" count="0"/>
    <cacheHierarchy uniqueName="[Measures].[AVG Salary]" caption="AVG Salary" measure="1" displayFolder="" measureGroup="HR Salary" count="0" oneField="1">
      <fieldsUsage count="1">
        <fieldUsage x="1"/>
      </fieldsUsage>
    </cacheHierarchy>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164350578707" backgroundQuery="1" createdVersion="8" refreshedVersion="8" minRefreshableVersion="3" recordCount="0" supportSubquery="1" supportAdvancedDrill="1" xr:uid="{8BFAEF23-968C-43E8-8FDA-E3D5147D1F71}">
  <cacheSource type="external" connectionId="3"/>
  <cacheFields count="2">
    <cacheField name="[HR Salary].[Gender].[Gender]" caption="Gender" numFmtId="0" hierarchy="4" level="1">
      <sharedItems count="2">
        <s v="Female"/>
        <s v="Male"/>
      </sharedItems>
    </cacheField>
    <cacheField name="[Measures].[TotalSalary]" caption="TotalSalary" numFmtId="0" hierarchy="16" level="32767"/>
  </cacheFields>
  <cacheHierarchies count="21">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0" memberValueDatatype="130" unbalanced="0"/>
    <cacheHierarchy uniqueName="[HR Salary].[Job Title]" caption="Job Title" attribute="1" defaultMemberUniqueName="[HR Salary].[Job Title].[All]" allUniqueName="[HR Salary].[Job Title].[All]" dimensionUniqueName="[HR Salary]" displayFolder="" count="0" memberValueDatatype="130" unbalanced="0"/>
    <cacheHierarchy uniqueName="[HR Salary].[Gender]" caption="Gender" attribute="1" defaultMemberUniqueName="[HR Salary].[Gender].[All]" allUniqueName="[HR Salary].[Gender].[All]" dimensionUniqueName="[HR Salary]" displayFolder="" count="2" memberValueDatatype="130" unbalanced="0">
      <fieldsUsage count="2">
        <fieldUsage x="-1"/>
        <fieldUsage x="0"/>
      </fieldsUsage>
    </cacheHierarchy>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Outlier]" caption="Outlier" attribute="1" defaultMemberUniqueName="[HR Salary].[Outlier].[All]" allUniqueName="[HR Salary].[Outlier].[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0" memberValueDatatype="130" unbalanced="0"/>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TotalSalary]" caption="TotalSalary" measure="1" displayFolder="" measureGroup="HR Salary" count="0" oneField="1">
      <fieldsUsage count="1">
        <fieldUsage x="1"/>
      </fieldsUsage>
    </cacheHierarchy>
    <cacheHierarchy uniqueName="[Measures].[AVG Salary]" caption="AVG 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164731828707" backgroundQuery="1" createdVersion="8" refreshedVersion="8" minRefreshableVersion="3" recordCount="0" supportSubquery="1" supportAdvancedDrill="1" xr:uid="{4D320B9D-2F78-4366-8B6C-4089140232A9}">
  <cacheSource type="external" connectionId="3"/>
  <cacheFields count="2">
    <cacheField name="[HR Salary].[Gender].[Gender]" caption="Gender" numFmtId="0" hierarchy="4" level="1">
      <sharedItems count="2">
        <s v="Female"/>
        <s v="Male"/>
      </sharedItems>
    </cacheField>
    <cacheField name="[Measures].[Employees]" caption="Employees" numFmtId="0" hierarchy="13" level="32767"/>
  </cacheFields>
  <cacheHierarchies count="21">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0" memberValueDatatype="130" unbalanced="0"/>
    <cacheHierarchy uniqueName="[HR Salary].[Job Title]" caption="Job Title" attribute="1" defaultMemberUniqueName="[HR Salary].[Job Title].[All]" allUniqueName="[HR Salary].[Job Title].[All]" dimensionUniqueName="[HR Salary]" displayFolder="" count="0" memberValueDatatype="130" unbalanced="0"/>
    <cacheHierarchy uniqueName="[HR Salary].[Gender]" caption="Gender" attribute="1" defaultMemberUniqueName="[HR Salary].[Gender].[All]" allUniqueName="[HR Salary].[Gender].[All]" dimensionUniqueName="[HR Salary]" displayFolder="" count="2" memberValueDatatype="130" unbalanced="0">
      <fieldsUsage count="2">
        <fieldUsage x="-1"/>
        <fieldUsage x="0"/>
      </fieldsUsage>
    </cacheHierarchy>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Outlier]" caption="Outlier" attribute="1" defaultMemberUniqueName="[HR Salary].[Outlier].[All]" allUniqueName="[HR Salary].[Outlier].[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0" memberValueDatatype="130" unbalanced="0"/>
    <cacheHierarchy uniqueName="[Measures].[Employees]" caption="Employees" measure="1" displayFolder="" measureGroup="HR Salary" count="0" oneField="1">
      <fieldsUsage count="1">
        <fieldUsage x="1"/>
      </fieldsUsage>
    </cacheHierarchy>
    <cacheHierarchy uniqueName="[Measures].[Departments]" caption="Departments" measure="1" displayFolder="" measureGroup="HR Salary" count="0"/>
    <cacheHierarchy uniqueName="[Measures].[Locations]" caption="Locations" measure="1" displayFolder="" measureGroup="HR Salary" count="0"/>
    <cacheHierarchy uniqueName="[Measures].[TotalSalary]" caption="TotalSalary" measure="1" displayFolder="" measureGroup="HR Salary" count="0"/>
    <cacheHierarchy uniqueName="[Measures].[AVG Salary]" caption="AVG 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dimensions count="3">
    <dimension name="HR Salary" uniqueName="[HR Salary]" caption="HR Salary"/>
    <dimension name="Job Class" uniqueName="[Job Class]" caption="Job Class"/>
    <dimension measure="1" name="Measures" uniqueName="[Measures]" caption="Measures"/>
  </dimensions>
  <measureGroups count="2">
    <measureGroup name="HR Salary" caption="HR Salary"/>
    <measureGroup name="Job Class" caption="Job Class"/>
  </measureGroups>
  <maps count="3">
    <map measureGroup="0" dimension="0"/>
    <map measureGroup="0" dimension="1"/>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mohamed" refreshedDate="46203.146468171297" backgroundQuery="1" createdVersion="3" refreshedVersion="8" minRefreshableVersion="3" recordCount="0" supportSubquery="1" supportAdvancedDrill="1" xr:uid="{C47AB090-B644-4B6E-B540-BBC0A5FAAFE6}">
  <cacheSource type="external" connectionId="3">
    <extLst>
      <ext xmlns:x14="http://schemas.microsoft.com/office/spreadsheetml/2009/9/main" uri="{F057638F-6D5F-4e77-A914-E7F072B9BCA8}">
        <x14:sourceConnection name="ThisWorkbookDataModel"/>
      </ext>
    </extLst>
  </cacheSource>
  <cacheFields count="0"/>
  <cacheHierarchies count="21">
    <cacheHierarchy uniqueName="[HR Salary].[Employee ID]" caption="Employee ID" attribute="1" defaultMemberUniqueName="[HR Salary].[Employee ID].[All]" allUniqueName="[HR Salary].[Employee ID].[All]" dimensionUniqueName="[HR Salary]" displayFolder="" count="0" memberValueDatatype="130" unbalanced="0"/>
    <cacheHierarchy uniqueName="[HR Salary].[Name]" caption="Name" attribute="1" defaultMemberUniqueName="[HR Salary].[Name].[All]" allUniqueName="[HR Salary].[Name].[All]" dimensionUniqueName="[HR Salary]" displayFolder="" count="0" memberValueDatatype="130" unbalanced="0"/>
    <cacheHierarchy uniqueName="[HR Salary].[Department]" caption="Department" attribute="1" defaultMemberUniqueName="[HR Salary].[Department].[All]" allUniqueName="[HR Salary].[Department].[All]" dimensionUniqueName="[HR Salary]" displayFolder="" count="2" memberValueDatatype="130" unbalanced="0"/>
    <cacheHierarchy uniqueName="[HR Salary].[Job Title]" caption="Job Title" attribute="1" defaultMemberUniqueName="[HR Salary].[Job Title].[All]" allUniqueName="[HR Salary].[Job Title].[All]" dimensionUniqueName="[HR Salary]" displayFolder="" count="2" memberValueDatatype="130" unbalanced="0"/>
    <cacheHierarchy uniqueName="[HR Salary].[Gender]" caption="Gender" attribute="1" defaultMemberUniqueName="[HR Salary].[Gender].[All]" allUniqueName="[HR Salary].[Gender].[All]" dimensionUniqueName="[HR Salary]" displayFolder="" count="0" memberValueDatatype="130" unbalanced="0"/>
    <cacheHierarchy uniqueName="[HR Salary].[Age]" caption="Age" attribute="1" defaultMemberUniqueName="[HR Salary].[Age].[All]" allUniqueName="[HR Salary].[Age].[All]" dimensionUniqueName="[HR Salary]" displayFolder="" count="0" memberValueDatatype="20" unbalanced="0"/>
    <cacheHierarchy uniqueName="[HR Salary].[Experience (Years)]" caption="Experience (Years)" attribute="1" defaultMemberUniqueName="[HR Salary].[Experience (Years)].[All]" allUniqueName="[HR Salary].[Experience (Years)].[All]" dimensionUniqueName="[HR Salary]" displayFolder="" count="0" memberValueDatatype="20" unbalanced="0"/>
    <cacheHierarchy uniqueName="[HR Salary].[Salary]" caption="Salary" attribute="1" defaultMemberUniqueName="[HR Salary].[Salary].[All]" allUniqueName="[HR Salary].[Salary].[All]" dimensionUniqueName="[HR Salary]" displayFolder="" count="0" memberValueDatatype="20" unbalanced="0"/>
    <cacheHierarchy uniqueName="[HR Salary].[Location]" caption="Location" attribute="1" defaultMemberUniqueName="[HR Salary].[Location].[All]" allUniqueName="[HR Salary].[Location].[All]" dimensionUniqueName="[HR Salary]" displayFolder="" count="0" memberValueDatatype="130" unbalanced="0"/>
    <cacheHierarchy uniqueName="[HR Salary].[Education Level]" caption="Education Level" attribute="1" defaultMemberUniqueName="[HR Salary].[Education Level].[All]" allUniqueName="[HR Salary].[Education Level].[All]" dimensionUniqueName="[HR Salary]" displayFolder="" count="0" memberValueDatatype="130" unbalanced="0"/>
    <cacheHierarchy uniqueName="[HR Salary].[Outlier]" caption="Outlier" attribute="1" defaultMemberUniqueName="[HR Salary].[Outlier].[All]" allUniqueName="[HR Salary].[Outlier].[All]" dimensionUniqueName="[HR Salary]" displayFolder="" count="0" memberValueDatatype="130" unbalanced="0"/>
    <cacheHierarchy uniqueName="[Job Class].[Job Title]" caption="Job Title" attribute="1" defaultMemberUniqueName="[Job Class].[Job Title].[All]" allUniqueName="[Job Class].[Job Title].[All]" dimensionUniqueName="[Job Class]" displayFolder="" count="0" memberValueDatatype="130" unbalanced="0"/>
    <cacheHierarchy uniqueName="[Job Class].[Job Level]" caption="Job Level" attribute="1" defaultMemberUniqueName="[Job Class].[Job Level].[All]" allUniqueName="[Job Class].[Job Level].[All]" dimensionUniqueName="[Job Class]" displayFolder="" count="2" memberValueDatatype="130" unbalanced="0"/>
    <cacheHierarchy uniqueName="[Measures].[Employees]" caption="Employees" measure="1" displayFolder="" measureGroup="HR Salary" count="0"/>
    <cacheHierarchy uniqueName="[Measures].[Departments]" caption="Departments" measure="1" displayFolder="" measureGroup="HR Salary" count="0"/>
    <cacheHierarchy uniqueName="[Measures].[Locations]" caption="Locations" measure="1" displayFolder="" measureGroup="HR Salary" count="0"/>
    <cacheHierarchy uniqueName="[Measures].[TotalSalary]" caption="TotalSalary" measure="1" displayFolder="" measureGroup="HR Salary" count="0"/>
    <cacheHierarchy uniqueName="[Measures].[AVG Salary]" caption="AVG Salary" measure="1" displayFolder="" measureGroup="HR Salary" count="0"/>
    <cacheHierarchy uniqueName="[Measures].[__XL_Count HR Salary]" caption="__XL_Count HR Salary" measure="1" displayFolder="" measureGroup="HR Salary" count="0" hidden="1"/>
    <cacheHierarchy uniqueName="[Measures].[__XL_Count Job Class]" caption="__XL_Count Job Class" measure="1" displayFolder="" measureGroup="Job Class"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273326224"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C574F92-E6E4-47FF-9992-A5A8D3C9F3F4}" name="PivotTable13" cacheId="356" applyNumberFormats="0" applyBorderFormats="0" applyFontFormats="0" applyPatternFormats="0" applyAlignmentFormats="0" applyWidthHeightFormats="1" dataCaption="Values" tag="b10ef39b-d5e9-490e-bce7-e2e0319f23bb" updatedVersion="8" minRefreshableVersion="3" useAutoFormatting="1" itemPrintTitles="1" createdVersion="8" indent="0" outline="1" outlineData="1" multipleFieldFilters="0" chartFormat="10">
  <location ref="J17:K20"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showDataAs="percentOfTotal" baseField="0" baseItem="0" numFmtId="10"/>
  </dataFields>
  <chartFormats count="3">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8461226-14C3-4A94-9015-DC07753655B8}" name="PivotTable12" cacheId="345" applyNumberFormats="0" applyBorderFormats="0" applyFontFormats="0" applyPatternFormats="0" applyAlignmentFormats="0" applyWidthHeightFormats="1" dataCaption="Values" tag="9a4c6a7f-aae3-4c97-9fdd-0e2924b7d5cb" updatedVersion="8" minRefreshableVersion="3" useAutoFormatting="1" itemPrintTitles="1" createdVersion="8" indent="0" outline="1" outlineData="1" multipleFieldFilters="0" chartFormat="11">
  <location ref="J12:K15" firstHeaderRow="1" firstDataRow="1" firstDataCol="1"/>
  <pivotFields count="2">
    <pivotField axis="axisRow" allDrilled="1" subtotalTop="0" showAll="0" dataSourceSort="1" defaultSubtotal="0" defaultAttributeDrillState="1">
      <items count="2">
        <item x="0"/>
        <item x="1"/>
      </items>
    </pivotField>
    <pivotField dataField="1" subtotalTop="0" showAll="0" defaultSubtotal="0"/>
  </pivotFields>
  <rowFields count="1">
    <field x="0"/>
  </rowFields>
  <rowItems count="3">
    <i>
      <x/>
    </i>
    <i>
      <x v="1"/>
    </i>
    <i t="grand">
      <x/>
    </i>
  </rowItems>
  <colItems count="1">
    <i/>
  </colItems>
  <dataFields count="1">
    <dataField fld="1" subtotal="count" showDataAs="percentOfTotal" baseField="0" baseItem="0" numFmtId="10"/>
  </dataFields>
  <formats count="2">
    <format dxfId="1">
      <pivotArea collapsedLevelsAreSubtotals="1" fieldPosition="0">
        <references count="1">
          <reference field="0" count="1">
            <x v="0"/>
          </reference>
        </references>
      </pivotArea>
    </format>
    <format dxfId="0">
      <pivotArea outline="0" fieldPosition="0">
        <references count="1">
          <reference field="4294967294" count="1">
            <x v="0"/>
          </reference>
        </references>
      </pivotArea>
    </format>
  </formats>
  <chartFormats count="4">
    <chartFormat chart="5" format="0"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9" format="5">
      <pivotArea type="data" outline="0" fieldPosition="0">
        <references count="2">
          <reference field="4294967294" count="1" selected="0">
            <x v="0"/>
          </reference>
          <reference field="0" count="1" selected="0">
            <x v="0"/>
          </reference>
        </references>
      </pivotArea>
    </chartFormat>
    <chartFormat chart="9" format="6">
      <pivotArea type="data" outline="0" fieldPosition="0">
        <references count="2">
          <reference field="4294967294" count="1" selected="0">
            <x v="0"/>
          </reference>
          <reference field="0" count="1" selected="0">
            <x v="1"/>
          </reference>
        </references>
      </pivotArea>
    </chartFormat>
  </chartFormats>
  <pivotHierarchies count="2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4"/>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48C048A-963C-4CDC-8858-E66C29EAF300}" name="PivotTable11" cacheId="310" applyNumberFormats="0" applyBorderFormats="0" applyFontFormats="0" applyPatternFormats="0" applyAlignmentFormats="0" applyWidthHeightFormats="1" dataCaption="Values" tag="475f5f7b-cb91-4962-9b62-3dafbdb2fe6f" updatedVersion="8" minRefreshableVersion="3" useAutoFormatting="1" itemPrintTitles="1" createdVersion="8" indent="0" outline="1" outlineData="1" multipleFieldFilters="0" chartFormat="4">
  <location ref="G12:H34" firstHeaderRow="1" firstDataRow="1" firstDataCol="1"/>
  <pivotFields count="2">
    <pivotField axis="axisRow" allDrilled="1" subtotalTop="0" showAll="0" dataSourceSort="1" defaultSubtotal="0" defaultAttributeDrillState="1">
      <items count="21">
        <item x="0"/>
        <item x="1"/>
        <item x="2"/>
        <item x="3"/>
        <item x="4"/>
        <item x="5"/>
        <item x="6"/>
        <item x="7"/>
        <item x="8"/>
        <item x="9"/>
        <item x="10"/>
        <item x="11"/>
        <item x="12"/>
        <item x="13"/>
        <item x="14"/>
        <item x="15"/>
        <item x="16"/>
        <item x="17"/>
        <item x="18"/>
        <item x="19"/>
        <item x="20"/>
      </items>
    </pivotField>
    <pivotField dataField="1" subtotalTop="0" showAll="0" defaultSubtotal="0"/>
  </pivotFields>
  <rowFields count="1">
    <field x="0"/>
  </rowFields>
  <rowItems count="22">
    <i>
      <x/>
    </i>
    <i>
      <x v="1"/>
    </i>
    <i>
      <x v="2"/>
    </i>
    <i>
      <x v="3"/>
    </i>
    <i>
      <x v="4"/>
    </i>
    <i>
      <x v="5"/>
    </i>
    <i>
      <x v="6"/>
    </i>
    <i>
      <x v="7"/>
    </i>
    <i>
      <x v="8"/>
    </i>
    <i>
      <x v="9"/>
    </i>
    <i>
      <x v="10"/>
    </i>
    <i>
      <x v="11"/>
    </i>
    <i>
      <x v="12"/>
    </i>
    <i>
      <x v="13"/>
    </i>
    <i>
      <x v="14"/>
    </i>
    <i>
      <x v="15"/>
    </i>
    <i>
      <x v="16"/>
    </i>
    <i>
      <x v="17"/>
    </i>
    <i>
      <x v="18"/>
    </i>
    <i>
      <x v="19"/>
    </i>
    <i>
      <x v="20"/>
    </i>
    <i t="grand">
      <x/>
    </i>
  </rowItems>
  <colItems count="1">
    <i/>
  </colItems>
  <dataFields count="1">
    <dataField fld="1" subtotal="count" baseField="0" baseItem="0"/>
  </dataFields>
  <chartFormats count="2">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5A13480-1CD6-487D-A0A1-7EAF413B8453}" name="PivotTable10" cacheId="313" applyNumberFormats="0" applyBorderFormats="0" applyFontFormats="0" applyPatternFormats="0" applyAlignmentFormats="0" applyWidthHeightFormats="1" dataCaption="Values" tag="ebec16e5-bc09-4c02-924c-fc2b5165cb2a" updatedVersion="8" minRefreshableVersion="3" useAutoFormatting="1" itemPrintTitles="1" createdVersion="8" indent="0" outline="1" outlineData="1" multipleFieldFilters="0" chartFormat="4">
  <location ref="D9:E17" firstHeaderRow="1" firstDataRow="1" firstDataCol="1"/>
  <pivotFields count="3">
    <pivotField axis="axisRow" allDrilled="1" subtotalTop="0" showAll="0" dataSourceSort="1" defaultSubtotal="0" defaultAttributeDrillState="1">
      <items count="7">
        <item x="0"/>
        <item x="1"/>
        <item x="2"/>
        <item x="3"/>
        <item x="4"/>
        <item x="5"/>
        <item x="6"/>
      </items>
    </pivotField>
    <pivotField dataField="1" subtotalTop="0" showAll="0" defaultSubtotal="0"/>
    <pivotField allDrilled="1" subtotalTop="0" showAll="0" dataSourceSort="1" defaultSubtotal="0" defaultAttributeDrillState="1"/>
  </pivotFields>
  <rowFields count="1">
    <field x="0"/>
  </rowFields>
  <rowItems count="8">
    <i>
      <x/>
    </i>
    <i>
      <x v="1"/>
    </i>
    <i>
      <x v="2"/>
    </i>
    <i>
      <x v="3"/>
    </i>
    <i>
      <x v="4"/>
    </i>
    <i>
      <x v="5"/>
    </i>
    <i>
      <x v="6"/>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83379EF-9DFC-42F9-802C-3EB559791942}" name="PivotTable9" cacheId="334" applyNumberFormats="0" applyBorderFormats="0" applyFontFormats="0" applyPatternFormats="0" applyAlignmentFormats="0" applyWidthHeightFormats="1" dataCaption="Values" tag="f16c01fb-388b-4234-a079-fcbe945ab51c" updatedVersion="8" minRefreshableVersion="3" useAutoFormatting="1" itemPrintTitles="1" createdVersion="8" indent="0" outline="1" outlineData="1" multipleFieldFilters="0" chartFormat="5">
  <location ref="A9:B46" firstHeaderRow="1" firstDataRow="1" firstDataCol="1"/>
  <pivotFields count="3">
    <pivotField axis="axisRow" allDrilled="1" subtotalTop="0" showAll="0" dataSourceSort="1" defaultSubtotal="0" defaultAttributeDrillState="1">
      <items count="3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s>
    </pivotField>
    <pivotField dataField="1" subtotalTop="0" showAll="0" defaultSubtotal="0"/>
    <pivotField allDrilled="1" subtotalTop="0" showAll="0" dataSourceSort="1" defaultSubtotal="0" defaultAttributeDrillState="1"/>
  </pivotFields>
  <rowFields count="1">
    <field x="0"/>
  </rowFields>
  <rowItems count="37">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t="grand">
      <x/>
    </i>
  </rowItems>
  <colItems count="1">
    <i/>
  </colItems>
  <dataFields count="1">
    <dataField fld="1" subtotal="count" baseField="0" baseItem="0"/>
  </dataFields>
  <chartFormats count="1">
    <chartFormat chart="2"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16065F-889F-45CF-A9C5-66DAA9787E20}" name="PivotTable8" cacheId="331" applyNumberFormats="0" applyBorderFormats="0" applyFontFormats="0" applyPatternFormats="0" applyAlignmentFormats="0" applyWidthHeightFormats="1" dataCaption="Values" tag="b9e04e21-dda4-4998-99be-878cb72f6c0c" updatedVersion="8" minRefreshableVersion="3" useAutoFormatting="1" itemPrintTitles="1" createdVersion="8" indent="0" outline="1" outlineData="1" multipleFieldFilters="0" chartFormat="4">
  <location ref="J1:K6"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fld="1" subtotal="count" baseField="0" baseItem="0"/>
  </dataFields>
  <chartFormats count="5">
    <chartFormat chart="2" format="2" series="1">
      <pivotArea type="data" outline="0" fieldPosition="0">
        <references count="1">
          <reference field="4294967294" count="1" selected="0">
            <x v="0"/>
          </reference>
        </references>
      </pivotArea>
    </chartFormat>
    <chartFormat chart="2" format="3">
      <pivotArea type="data" outline="0" fieldPosition="0">
        <references count="2">
          <reference field="4294967294" count="1" selected="0">
            <x v="0"/>
          </reference>
          <reference field="0" count="1" selected="0">
            <x v="2"/>
          </reference>
        </references>
      </pivotArea>
    </chartFormat>
    <chartFormat chart="2" format="4">
      <pivotArea type="data" outline="0" fieldPosition="0">
        <references count="2">
          <reference field="4294967294" count="1" selected="0">
            <x v="0"/>
          </reference>
          <reference field="0" count="1" selected="0">
            <x v="3"/>
          </reference>
        </references>
      </pivotArea>
    </chartFormat>
    <chartFormat chart="2" format="5">
      <pivotArea type="data" outline="0" fieldPosition="0">
        <references count="2">
          <reference field="4294967294" count="1" selected="0">
            <x v="0"/>
          </reference>
          <reference field="0" count="1" selected="0">
            <x v="1"/>
          </reference>
        </references>
      </pivotArea>
    </chartFormat>
    <chartFormat chart="2" format="6">
      <pivotArea type="data" outline="0" fieldPosition="0">
        <references count="2">
          <reference field="4294967294" count="1" selected="0">
            <x v="0"/>
          </reference>
          <reference field="0"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C240425-FE67-4E2E-BE86-8FCA54F4ECB5}" name="PivotTable7" cacheId="328" applyNumberFormats="0" applyBorderFormats="0" applyFontFormats="0" applyPatternFormats="0" applyAlignmentFormats="0" applyWidthHeightFormats="1" dataCaption="Values" tag="05117885-b6c1-4e16-8eaf-5a773debfc78" updatedVersion="8" minRefreshableVersion="3" useAutoFormatting="1" itemPrintTitles="1" createdVersion="8" indent="0" outline="1" outlineData="1" multipleFieldFilters="0" chartFormat="6">
  <location ref="G1:H9" firstHeaderRow="1" firstDataRow="1" firstDataCol="1"/>
  <pivotFields count="3">
    <pivotField axis="axisRow" allDrilled="1" subtotalTop="0" showAll="0" sortType="ascending" defaultSubtotal="0" defaultAttributeDrillState="1">
      <items count="7">
        <item x="0"/>
        <item x="1"/>
        <item x="2"/>
        <item x="3"/>
        <item x="4"/>
        <item x="5"/>
        <item x="6"/>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0"/>
  </rowFields>
  <rowItems count="8">
    <i>
      <x v="4"/>
    </i>
    <i>
      <x v="2"/>
    </i>
    <i>
      <x/>
    </i>
    <i>
      <x v="6"/>
    </i>
    <i>
      <x v="1"/>
    </i>
    <i>
      <x v="5"/>
    </i>
    <i>
      <x v="3"/>
    </i>
    <i t="grand">
      <x/>
    </i>
  </rowItems>
  <colItems count="1">
    <i/>
  </colItems>
  <dataFields count="1">
    <dataField fld="1" subtotal="count" baseField="0" baseItem="0"/>
  </dataFields>
  <chartFormats count="1">
    <chartFormat chart="4" format="2" series="1">
      <pivotArea type="data" outline="0" fieldPosition="0">
        <references count="1">
          <reference field="4294967294" count="1" selected="0">
            <x v="0"/>
          </reference>
        </references>
      </pivotArea>
    </chartFormat>
  </chartFormat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419C359-6DA6-47C3-A147-782ACC371EA9}" name="PivotTable6" cacheId="325" applyNumberFormats="0" applyBorderFormats="0" applyFontFormats="0" applyPatternFormats="0" applyAlignmentFormats="0" applyWidthHeightFormats="1" dataCaption="Values" tag="f1856619-4e0d-41d9-87ab-f0830566baf9" updatedVersion="8" minRefreshableVersion="3" useAutoFormatting="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68C2C092-5F9B-4753-8153-662AA87C0B97}" name="PivotTable4" cacheId="322" applyNumberFormats="0" applyBorderFormats="0" applyFontFormats="0" applyPatternFormats="0" applyAlignmentFormats="0" applyWidthHeightFormats="1" dataCaption="Values" tag="fa4618e2-180d-457c-a18d-e0a7e97af1ab" updatedVersion="8" minRefreshableVersion="3" useAutoFormatting="1" itemPrintTitles="1" createdVersion="8" indent="0" outline="1" outlineData="1" multipleFieldFilters="0">
  <location ref="C4:C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AADA16D1-27B7-4061-916F-CD364FA1BCEC}" name="PivotTable3" cacheId="319" applyNumberFormats="0" applyBorderFormats="0" applyFontFormats="0" applyPatternFormats="0" applyAlignmentFormats="0" applyWidthHeightFormats="1" dataCaption="Values" tag="58e1cf08-f2ce-44ef-a355-506a3a6fac8b" updatedVersion="8" minRefreshableVersion="3" useAutoFormatting="1" itemPrintTitles="1" createdVersion="8" indent="0" outline="1" outlineData="1" multipleFieldFilters="0">
  <location ref="A4:A5"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CF968F2C-EDD8-4E7F-B8FC-41A23B238960}" name="PivotTable2" cacheId="316" applyNumberFormats="0" applyBorderFormats="0" applyFontFormats="0" applyPatternFormats="0" applyAlignmentFormats="0" applyWidthHeightFormats="1" dataCaption="Values" tag="41af6ceb-7791-4f82-acab-35f818254126" updatedVersion="8" minRefreshableVersion="3" useAutoFormatting="1" itemPrintTitles="1" createdVersion="8" indent="0" outline="1" outlineData="1" multipleFieldFilters="0">
  <location ref="C1:C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fld="0" subtotal="count" baseField="0" baseItem="0"/>
  </dataFields>
  <pivotHierarchies count="21">
    <pivotHierarchy dragToData="1"/>
    <pivotHierarchy dragToData="1"/>
    <pivotHierarchy multipleItemSelectionAllowed="1"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R 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 xr10:uid="{F750D133-5859-487A-898A-E9C48CEF0B86}" sourceName="[HR Salary].[Job Title]">
  <pivotTables>
    <pivotTable tabId="1" name="PivotTable1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olap pivotCacheId="1273326224">
      <levels count="2">
        <level uniqueName="[HR Salary].[Job Title].[(All)]" sourceCaption="(All)" count="0"/>
        <level uniqueName="[HR Salary].[Job Title].[Job Title]" sourceCaption="Job Title" count="21">
          <ranges>
            <range startItem="0">
              <i n="[HR Salary].[Job Title].&amp;[Account Manager]" c="Account Manager"/>
              <i n="[HR Salary].[Job Title].&amp;[Accountant]" c="Accountant"/>
              <i n="[HR Salary].[Job Title].&amp;[Data Scientist]" c="Data Scientist"/>
              <i n="[HR Salary].[Job Title].&amp;[Finance Manager]" c="Finance Manager"/>
              <i n="[HR Salary].[Job Title].&amp;[Financial Analyst]" c="Financial Analyst"/>
              <i n="[HR Salary].[Job Title].&amp;[HR Assistant]" c="HR Assistant"/>
              <i n="[HR Salary].[Job Title].&amp;[HR Manager]" c="HR Manager"/>
              <i n="[HR Salary].[Job Title].&amp;[IT Manager]" c="IT Manager"/>
              <i n="[HR Salary].[Job Title].&amp;[Logistics Coordinator]" c="Logistics Coordinator"/>
              <i n="[HR Salary].[Job Title].&amp;[Marketing Executive]" c="Marketing Executive"/>
              <i n="[HR Salary].[Job Title].&amp;[Marketing Manager]" c="Marketing Manager"/>
              <i n="[HR Salary].[Job Title].&amp;[Operations Executive]" c="Operations Executive"/>
              <i n="[HR Salary].[Job Title].&amp;[Operations Manager]" c="Operations Manager"/>
              <i n="[HR Salary].[Job Title].&amp;[R&amp;D Manager]" c="R&amp;D Manager"/>
              <i n="[HR Salary].[Job Title].&amp;[Recruiter]" c="Recruiter"/>
              <i n="[HR Salary].[Job Title].&amp;[Research Analyst]" c="Research Analyst"/>
              <i n="[HR Salary].[Job Title].&amp;[Sales Executive]" c="Sales Executive"/>
              <i n="[HR Salary].[Job Title].&amp;[Sales Manager]" c="Sales Manager"/>
              <i n="[HR Salary].[Job Title].&amp;[SEO Specialist]" c="SEO Specialist"/>
              <i n="[HR Salary].[Job Title].&amp;[Software Engineer]" c="Software Engineer"/>
              <i n="[HR Salary].[Job Title].&amp;[System Admin]" c="System Admin"/>
            </range>
          </ranges>
        </level>
      </levels>
      <selections count="1">
        <selection n="[HR Salary].[Job Title].[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AAFB1B41-A97F-4137-A53D-889C270C883B}" sourceName="[HR Salary].[Department]">
  <pivotTables>
    <pivotTable tabId="1" name="PivotTable1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olap pivotCacheId="1273326224">
      <levels count="2">
        <level uniqueName="[HR Salary].[Department].[(All)]" sourceCaption="(All)" count="0"/>
        <level uniqueName="[HR Salary].[Department].[Department]" sourceCaption="Department" count="7">
          <ranges>
            <range startItem="0">
              <i n="[HR Salary].[Department].&amp;[Finance]" c="Finance"/>
              <i n="[HR Salary].[Department].&amp;[HR]" c="HR"/>
              <i n="[HR Salary].[Department].&amp;[IT]" c="IT"/>
              <i n="[HR Salary].[Department].&amp;[Marketing]" c="Marketing"/>
              <i n="[HR Salary].[Department].&amp;[Operations]" c="Operations"/>
              <i n="[HR Salary].[Department].&amp;[R&amp;D]" c="R&amp;D"/>
              <i n="[HR Salary].[Department].&amp;[Sales]" c="Sales"/>
            </range>
          </ranges>
        </level>
      </levels>
      <selections count="1">
        <selection n="[HR Salary].[Department].[All]"/>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Level" xr10:uid="{1C6DF864-B6B7-45B8-95B1-6E70143959EC}" sourceName="[Job Class].[Job Level]">
  <pivotTables>
    <pivotTable tabId="1" name="PivotTable11"/>
    <pivotTable tabId="1" name="PivotTable10"/>
    <pivotTable tabId="1" name="PivotTable2"/>
    <pivotTable tabId="1" name="PivotTable3"/>
    <pivotTable tabId="1" name="PivotTable4"/>
    <pivotTable tabId="1" name="PivotTable6"/>
    <pivotTable tabId="1" name="PivotTable7"/>
    <pivotTable tabId="1" name="PivotTable8"/>
    <pivotTable tabId="1" name="PivotTable9"/>
  </pivotTables>
  <data>
    <olap pivotCacheId="1273326224">
      <levels count="2">
        <level uniqueName="[Job Class].[Job Level].[(All)]" sourceCaption="(All)" count="0"/>
        <level uniqueName="[Job Class].[Job Level].[Job Level]" sourceCaption="Job Level" count="3">
          <ranges>
            <range startItem="0">
              <i n="[Job Class].[Job Level].&amp;[Entry Level]" c="Entry Level"/>
              <i n="[Job Class].[Job Level].&amp;[Manager]" c="Manager"/>
              <i n="[Job Class].[Job Level].&amp;[Mid Level]" c="Mid Level"/>
            </range>
          </ranges>
        </level>
      </levels>
      <selections count="1">
        <selection n="[Job Class].[Job Level].[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1" xr10:uid="{6621D08D-05A4-4606-840E-34011E8796F7}" cache="Slicer_Job_Title" caption="Job Title" level="1" style="SlicerStyleOther1" rowHeight="640080"/>
  <slicer name="Department 1" xr10:uid="{4D6A3E19-34EE-4CB1-9ECA-116571C8E76B}" cache="Slicer_Department" caption="Department" columnCount="2" level="1" style="SlicerStyleOther1" rowHeight="548640"/>
  <slicer name="Job Level 1" xr10:uid="{1B57904E-89CF-497A-8F79-7BE371CB6E68}" cache="Slicer_Job_Level" caption="Job Level" level="1" style="SlicerStyleOther1" rowHeight="54864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E6F4BF-8504-4E02-9224-3C444202E405}">
  <dimension ref="A1:K46"/>
  <sheetViews>
    <sheetView workbookViewId="0">
      <selection activeCell="L14" sqref="L14"/>
    </sheetView>
  </sheetViews>
  <sheetFormatPr defaultRowHeight="14.4" x14ac:dyDescent="0.3"/>
  <cols>
    <col min="1" max="1" width="12.44140625" bestFit="1" customWidth="1"/>
    <col min="2" max="2" width="10.109375" bestFit="1" customWidth="1"/>
    <col min="3" max="3" width="11.88671875" bestFit="1" customWidth="1"/>
    <col min="4" max="4" width="12.44140625" bestFit="1" customWidth="1"/>
    <col min="5" max="5" width="10.33203125" bestFit="1" customWidth="1"/>
    <col min="7" max="7" width="12.44140625" bestFit="1" customWidth="1"/>
    <col min="8" max="9" width="10.109375" bestFit="1" customWidth="1"/>
    <col min="10" max="10" width="12.44140625" bestFit="1" customWidth="1"/>
    <col min="11" max="11" width="10.109375" bestFit="1" customWidth="1"/>
  </cols>
  <sheetData>
    <row r="1" spans="1:11" x14ac:dyDescent="0.3">
      <c r="C1" t="s">
        <v>1</v>
      </c>
      <c r="E1" t="s">
        <v>0</v>
      </c>
      <c r="G1" s="3" t="s">
        <v>45</v>
      </c>
      <c r="H1" t="s">
        <v>47</v>
      </c>
      <c r="J1" s="3" t="s">
        <v>45</v>
      </c>
      <c r="K1" t="s">
        <v>47</v>
      </c>
    </row>
    <row r="2" spans="1:11" x14ac:dyDescent="0.3">
      <c r="C2" s="2">
        <v>500</v>
      </c>
      <c r="E2" s="1">
        <v>4962657</v>
      </c>
      <c r="G2" s="4" t="s">
        <v>30</v>
      </c>
      <c r="H2" s="1">
        <v>9624.4025974025972</v>
      </c>
      <c r="J2" s="4" t="s">
        <v>8</v>
      </c>
      <c r="K2" s="1">
        <v>9816.6832061068708</v>
      </c>
    </row>
    <row r="3" spans="1:11" x14ac:dyDescent="0.3">
      <c r="G3" s="4" t="s">
        <v>13</v>
      </c>
      <c r="H3" s="1">
        <v>9648.4696969696961</v>
      </c>
      <c r="J3" s="4" t="s">
        <v>42</v>
      </c>
      <c r="K3" s="1">
        <v>9952.0666666666675</v>
      </c>
    </row>
    <row r="4" spans="1:11" x14ac:dyDescent="0.3">
      <c r="A4" t="s">
        <v>2</v>
      </c>
      <c r="C4" t="s">
        <v>3</v>
      </c>
      <c r="G4" s="4" t="s">
        <v>32</v>
      </c>
      <c r="H4" s="1">
        <v>9730.8533333333326</v>
      </c>
      <c r="J4" s="4" t="s">
        <v>43</v>
      </c>
      <c r="K4" s="1">
        <v>10197.954128440368</v>
      </c>
    </row>
    <row r="5" spans="1:11" x14ac:dyDescent="0.3">
      <c r="A5" s="2">
        <v>7</v>
      </c>
      <c r="C5" s="2">
        <v>7</v>
      </c>
      <c r="G5" s="4" t="s">
        <v>16</v>
      </c>
      <c r="H5" s="1">
        <v>9805.9324324324316</v>
      </c>
      <c r="J5" s="4" t="s">
        <v>44</v>
      </c>
      <c r="K5" s="1">
        <v>9755.9166666666661</v>
      </c>
    </row>
    <row r="6" spans="1:11" x14ac:dyDescent="0.3">
      <c r="G6" s="4" t="s">
        <v>7</v>
      </c>
      <c r="H6" s="1">
        <v>9926.818181818182</v>
      </c>
      <c r="J6" s="4" t="s">
        <v>46</v>
      </c>
      <c r="K6" s="1">
        <v>9925.3140000000003</v>
      </c>
    </row>
    <row r="7" spans="1:11" x14ac:dyDescent="0.3">
      <c r="G7" s="4" t="s">
        <v>20</v>
      </c>
      <c r="H7" s="1">
        <v>10275.313432835821</v>
      </c>
    </row>
    <row r="8" spans="1:11" x14ac:dyDescent="0.3">
      <c r="G8" s="4" t="s">
        <v>35</v>
      </c>
      <c r="H8" s="1">
        <v>10570.546875</v>
      </c>
    </row>
    <row r="9" spans="1:11" x14ac:dyDescent="0.3">
      <c r="A9" s="3" t="s">
        <v>45</v>
      </c>
      <c r="B9" t="s">
        <v>47</v>
      </c>
      <c r="D9" s="3" t="s">
        <v>45</v>
      </c>
      <c r="E9" t="s">
        <v>47</v>
      </c>
      <c r="G9" s="4" t="s">
        <v>46</v>
      </c>
      <c r="H9" s="1">
        <v>9925.3140000000003</v>
      </c>
    </row>
    <row r="10" spans="1:11" x14ac:dyDescent="0.3">
      <c r="A10" s="4">
        <v>0</v>
      </c>
      <c r="B10" s="1">
        <v>5808.0344827586205</v>
      </c>
      <c r="D10" s="4" t="s">
        <v>14</v>
      </c>
      <c r="E10" s="1">
        <v>9484.5245901639337</v>
      </c>
    </row>
    <row r="11" spans="1:11" x14ac:dyDescent="0.3">
      <c r="A11" s="4">
        <v>1</v>
      </c>
      <c r="B11" s="1">
        <v>6348.478260869565</v>
      </c>
      <c r="D11" s="4" t="s">
        <v>25</v>
      </c>
      <c r="E11" s="1">
        <v>8216.0689655172409</v>
      </c>
    </row>
    <row r="12" spans="1:11" x14ac:dyDescent="0.3">
      <c r="A12" s="4">
        <v>2</v>
      </c>
      <c r="B12" s="1">
        <v>6528.25</v>
      </c>
      <c r="D12" s="4" t="s">
        <v>4</v>
      </c>
      <c r="E12" s="1">
        <v>12152.5</v>
      </c>
      <c r="G12" s="3" t="s">
        <v>45</v>
      </c>
      <c r="H12" t="s">
        <v>47</v>
      </c>
      <c r="J12" s="3" t="s">
        <v>45</v>
      </c>
      <c r="K12" t="s">
        <v>0</v>
      </c>
    </row>
    <row r="13" spans="1:11" x14ac:dyDescent="0.3">
      <c r="A13" s="4">
        <v>3</v>
      </c>
      <c r="B13" s="1">
        <v>7416.2941176470586</v>
      </c>
      <c r="D13" s="4" t="s">
        <v>21</v>
      </c>
      <c r="E13" s="1">
        <v>8973.9125000000004</v>
      </c>
      <c r="G13" s="4" t="s">
        <v>28</v>
      </c>
      <c r="H13" s="1">
        <v>8907.5161290322576</v>
      </c>
      <c r="J13" s="4" t="s">
        <v>12</v>
      </c>
      <c r="K13" s="7">
        <v>0.52770179361579894</v>
      </c>
    </row>
    <row r="14" spans="1:11" x14ac:dyDescent="0.3">
      <c r="A14" s="4">
        <v>4</v>
      </c>
      <c r="B14" s="1">
        <v>7836.08</v>
      </c>
      <c r="D14" s="4" t="s">
        <v>17</v>
      </c>
      <c r="E14" s="1">
        <v>9319.7285714285717</v>
      </c>
      <c r="G14" s="4" t="s">
        <v>15</v>
      </c>
      <c r="H14" s="1">
        <v>9341.5789473684217</v>
      </c>
      <c r="J14" s="4" t="s">
        <v>6</v>
      </c>
      <c r="K14" s="7">
        <v>0.47229820638420106</v>
      </c>
    </row>
    <row r="15" spans="1:11" x14ac:dyDescent="0.3">
      <c r="A15" s="4">
        <v>5</v>
      </c>
      <c r="B15" s="1">
        <v>8115.4285714285716</v>
      </c>
      <c r="D15" s="4" t="s">
        <v>9</v>
      </c>
      <c r="E15" s="1">
        <v>11623.743243243243</v>
      </c>
      <c r="G15" s="4" t="s">
        <v>41</v>
      </c>
      <c r="H15" s="1">
        <v>12049.6</v>
      </c>
      <c r="J15" s="4" t="s">
        <v>46</v>
      </c>
      <c r="K15" s="7">
        <v>1</v>
      </c>
    </row>
    <row r="16" spans="1:11" x14ac:dyDescent="0.3">
      <c r="A16" s="4">
        <v>6</v>
      </c>
      <c r="B16" s="1">
        <v>7882.333333333333</v>
      </c>
      <c r="D16" s="4" t="s">
        <v>27</v>
      </c>
      <c r="E16" s="1">
        <v>9154.7792207792209</v>
      </c>
      <c r="G16" s="4" t="s">
        <v>38</v>
      </c>
      <c r="H16" s="1">
        <v>9126.2307692307695</v>
      </c>
    </row>
    <row r="17" spans="1:11" x14ac:dyDescent="0.3">
      <c r="A17" s="4">
        <v>7</v>
      </c>
      <c r="B17" s="1">
        <v>8836.2000000000007</v>
      </c>
      <c r="D17" s="4" t="s">
        <v>46</v>
      </c>
      <c r="E17" s="1">
        <v>9925.3140000000003</v>
      </c>
      <c r="G17" s="4" t="s">
        <v>23</v>
      </c>
      <c r="H17" s="1">
        <v>10236.5</v>
      </c>
      <c r="J17" s="3" t="s">
        <v>45</v>
      </c>
      <c r="K17" t="s">
        <v>1</v>
      </c>
    </row>
    <row r="18" spans="1:11" x14ac:dyDescent="0.3">
      <c r="A18" s="4">
        <v>8</v>
      </c>
      <c r="B18" s="1">
        <v>8817.0769230769238</v>
      </c>
      <c r="G18" s="4" t="s">
        <v>31</v>
      </c>
      <c r="H18" s="1">
        <v>7696.3888888888887</v>
      </c>
      <c r="J18" s="4" t="s">
        <v>12</v>
      </c>
      <c r="K18" s="7">
        <v>0.52200000000000002</v>
      </c>
    </row>
    <row r="19" spans="1:11" x14ac:dyDescent="0.3">
      <c r="A19" s="4">
        <v>9</v>
      </c>
      <c r="B19" s="1">
        <v>9717.181818181818</v>
      </c>
      <c r="G19" s="4" t="s">
        <v>26</v>
      </c>
      <c r="H19" s="1">
        <v>8237.105263157895</v>
      </c>
      <c r="J19" s="4" t="s">
        <v>6</v>
      </c>
      <c r="K19" s="7">
        <v>0.47799999999999998</v>
      </c>
    </row>
    <row r="20" spans="1:11" x14ac:dyDescent="0.3">
      <c r="A20" s="4">
        <v>10</v>
      </c>
      <c r="B20" s="1">
        <v>9713.454545454546</v>
      </c>
      <c r="G20" s="4" t="s">
        <v>5</v>
      </c>
      <c r="H20" s="1">
        <v>11926.208333333334</v>
      </c>
      <c r="J20" s="4" t="s">
        <v>46</v>
      </c>
      <c r="K20" s="7">
        <v>1</v>
      </c>
    </row>
    <row r="21" spans="1:11" x14ac:dyDescent="0.3">
      <c r="A21" s="4">
        <v>11</v>
      </c>
      <c r="B21" s="1">
        <v>10172.611111111111</v>
      </c>
      <c r="G21" s="4" t="s">
        <v>18</v>
      </c>
      <c r="H21" s="1">
        <v>9542.3214285714294</v>
      </c>
    </row>
    <row r="22" spans="1:11" x14ac:dyDescent="0.3">
      <c r="A22" s="4">
        <v>12</v>
      </c>
      <c r="B22" s="1">
        <v>10604.45</v>
      </c>
      <c r="G22" s="4" t="s">
        <v>39</v>
      </c>
      <c r="H22" s="1">
        <v>7453.2352941176468</v>
      </c>
    </row>
    <row r="23" spans="1:11" x14ac:dyDescent="0.3">
      <c r="A23" s="4">
        <v>13</v>
      </c>
      <c r="B23" s="1">
        <v>10677.666666666666</v>
      </c>
      <c r="G23" s="4" t="s">
        <v>34</v>
      </c>
      <c r="H23" s="1">
        <v>9350.4838709677424</v>
      </c>
    </row>
    <row r="24" spans="1:11" x14ac:dyDescent="0.3">
      <c r="A24" s="4">
        <v>14</v>
      </c>
      <c r="B24" s="1">
        <v>10835.3125</v>
      </c>
      <c r="G24" s="4" t="s">
        <v>24</v>
      </c>
      <c r="H24" s="1">
        <v>8808.3684210526317</v>
      </c>
    </row>
    <row r="25" spans="1:11" x14ac:dyDescent="0.3">
      <c r="A25" s="4">
        <v>15</v>
      </c>
      <c r="B25" s="1">
        <v>11643.533333333333</v>
      </c>
      <c r="G25" s="4" t="s">
        <v>29</v>
      </c>
      <c r="H25" s="1">
        <v>9471.173913043478</v>
      </c>
    </row>
    <row r="26" spans="1:11" x14ac:dyDescent="0.3">
      <c r="A26" s="4">
        <v>16</v>
      </c>
      <c r="B26" s="1">
        <v>12042.173913043478</v>
      </c>
      <c r="G26" s="4" t="s">
        <v>10</v>
      </c>
      <c r="H26" s="1">
        <v>12414.541666666666</v>
      </c>
    </row>
    <row r="27" spans="1:11" x14ac:dyDescent="0.3">
      <c r="A27" s="4">
        <v>17</v>
      </c>
      <c r="B27" s="1">
        <v>11601.5625</v>
      </c>
      <c r="G27" s="4" t="s">
        <v>37</v>
      </c>
      <c r="H27" s="1">
        <v>8642.4761904761908</v>
      </c>
    </row>
    <row r="28" spans="1:11" x14ac:dyDescent="0.3">
      <c r="A28" s="4">
        <v>18</v>
      </c>
      <c r="B28" s="1">
        <v>12015.272727272728</v>
      </c>
      <c r="G28" s="4" t="s">
        <v>11</v>
      </c>
      <c r="H28" s="1">
        <v>10707.2</v>
      </c>
    </row>
    <row r="29" spans="1:11" x14ac:dyDescent="0.3">
      <c r="A29" s="4">
        <v>19</v>
      </c>
      <c r="B29" s="1">
        <v>13130.5</v>
      </c>
      <c r="G29" s="4" t="s">
        <v>36</v>
      </c>
      <c r="H29" s="1">
        <v>10007.846153846154</v>
      </c>
    </row>
    <row r="30" spans="1:11" x14ac:dyDescent="0.3">
      <c r="A30" s="4">
        <v>20</v>
      </c>
      <c r="B30" s="1">
        <v>12214.285714285714</v>
      </c>
      <c r="G30" s="4" t="s">
        <v>40</v>
      </c>
      <c r="H30" s="1">
        <v>8429.0499999999993</v>
      </c>
    </row>
    <row r="31" spans="1:11" x14ac:dyDescent="0.3">
      <c r="A31" s="4">
        <v>21</v>
      </c>
      <c r="B31" s="1">
        <v>13862.9</v>
      </c>
      <c r="G31" s="4" t="s">
        <v>22</v>
      </c>
      <c r="H31" s="1">
        <v>9416.96875</v>
      </c>
    </row>
    <row r="32" spans="1:11" x14ac:dyDescent="0.3">
      <c r="A32" s="4">
        <v>22</v>
      </c>
      <c r="B32" s="1">
        <v>13721.3</v>
      </c>
      <c r="G32" s="4" t="s">
        <v>33</v>
      </c>
      <c r="H32" s="1">
        <v>11956.181818181818</v>
      </c>
    </row>
    <row r="33" spans="1:8" x14ac:dyDescent="0.3">
      <c r="A33" s="4">
        <v>23</v>
      </c>
      <c r="B33" s="1">
        <v>13648</v>
      </c>
      <c r="G33" s="4" t="s">
        <v>19</v>
      </c>
      <c r="H33" s="1">
        <v>12670.304347826086</v>
      </c>
    </row>
    <row r="34" spans="1:8" x14ac:dyDescent="0.3">
      <c r="A34" s="4">
        <v>24</v>
      </c>
      <c r="B34" s="1">
        <v>14713</v>
      </c>
      <c r="G34" s="4" t="s">
        <v>46</v>
      </c>
      <c r="H34" s="1">
        <v>9925.3140000000003</v>
      </c>
    </row>
    <row r="35" spans="1:8" x14ac:dyDescent="0.3">
      <c r="A35" s="4">
        <v>25</v>
      </c>
      <c r="B35" s="1">
        <v>16005.166666666666</v>
      </c>
    </row>
    <row r="36" spans="1:8" x14ac:dyDescent="0.3">
      <c r="A36" s="4">
        <v>26</v>
      </c>
      <c r="B36" s="1">
        <v>16182.375</v>
      </c>
    </row>
    <row r="37" spans="1:8" x14ac:dyDescent="0.3">
      <c r="A37" s="4">
        <v>27</v>
      </c>
      <c r="B37" s="1">
        <v>15153.75</v>
      </c>
    </row>
    <row r="38" spans="1:8" x14ac:dyDescent="0.3">
      <c r="A38" s="4">
        <v>28</v>
      </c>
      <c r="B38" s="1">
        <v>17912.5</v>
      </c>
    </row>
    <row r="39" spans="1:8" x14ac:dyDescent="0.3">
      <c r="A39" s="4">
        <v>29</v>
      </c>
      <c r="B39" s="1">
        <v>14154.333333333334</v>
      </c>
    </row>
    <row r="40" spans="1:8" x14ac:dyDescent="0.3">
      <c r="A40" s="4">
        <v>30</v>
      </c>
      <c r="B40" s="1">
        <v>16074.333333333334</v>
      </c>
    </row>
    <row r="41" spans="1:8" x14ac:dyDescent="0.3">
      <c r="A41" s="4">
        <v>31</v>
      </c>
      <c r="B41" s="1">
        <v>17084</v>
      </c>
    </row>
    <row r="42" spans="1:8" x14ac:dyDescent="0.3">
      <c r="A42" s="4">
        <v>32</v>
      </c>
      <c r="B42" s="1">
        <v>19552</v>
      </c>
    </row>
    <row r="43" spans="1:8" x14ac:dyDescent="0.3">
      <c r="A43" s="4">
        <v>33</v>
      </c>
      <c r="B43" s="1">
        <v>13250.5</v>
      </c>
    </row>
    <row r="44" spans="1:8" x14ac:dyDescent="0.3">
      <c r="A44" s="4">
        <v>34</v>
      </c>
      <c r="B44" s="1">
        <v>20543</v>
      </c>
    </row>
    <row r="45" spans="1:8" x14ac:dyDescent="0.3">
      <c r="A45" s="4">
        <v>37</v>
      </c>
      <c r="B45" s="1">
        <v>16899</v>
      </c>
    </row>
    <row r="46" spans="1:8" x14ac:dyDescent="0.3">
      <c r="A46" s="4" t="s">
        <v>46</v>
      </c>
      <c r="B46" s="1">
        <v>9925.3140000000003</v>
      </c>
    </row>
  </sheetData>
  <pageMargins left="0.7" right="0.7" top="0.75" bottom="0.75" header="0.3" footer="0.3"/>
  <drawing r:id="rId1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A7041E-2E63-4EB8-9F8C-FB92CEEF41B9}">
  <dimension ref="BF78"/>
  <sheetViews>
    <sheetView showGridLines="0" tabSelected="1" topLeftCell="A43" zoomScale="39" workbookViewId="0">
      <selection activeCell="D75" sqref="D75"/>
    </sheetView>
  </sheetViews>
  <sheetFormatPr defaultRowHeight="14.4" x14ac:dyDescent="0.3"/>
  <cols>
    <col min="1" max="16384" width="8.88671875" style="5"/>
  </cols>
  <sheetData>
    <row r="78" spans="58:58" ht="93.6" x14ac:dyDescent="1.75">
      <c r="BF78" s="6"/>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_rels/item24.xml.rels><?xml version="1.0" encoding="UTF-8" standalone="yes"?>
<Relationships xmlns="http://schemas.openxmlformats.org/package/2006/relationships"><Relationship Id="rId1" Type="http://schemas.openxmlformats.org/officeDocument/2006/relationships/customXmlProps" Target="itemProps24.xml"/></Relationships>
</file>

<file path=customXml/_rels/item25.xml.rels><?xml version="1.0" encoding="UTF-8" standalone="yes"?>
<Relationships xmlns="http://schemas.openxmlformats.org/package/2006/relationships"><Relationship Id="rId1" Type="http://schemas.openxmlformats.org/officeDocument/2006/relationships/customXmlProps" Target="itemProps25.xml"/></Relationships>
</file>

<file path=customXml/_rels/item26.xml.rels><?xml version="1.0" encoding="UTF-8" standalone="yes"?>
<Relationships xmlns="http://schemas.openxmlformats.org/package/2006/relationships"><Relationship Id="rId1" Type="http://schemas.openxmlformats.org/officeDocument/2006/relationships/customXmlProps" Target="itemProps26.xml"/></Relationships>
</file>

<file path=customXml/_rels/item27.xml.rels><?xml version="1.0" encoding="UTF-8" standalone="yes"?>
<Relationships xmlns="http://schemas.openxmlformats.org/package/2006/relationships"><Relationship Id="rId1" Type="http://schemas.openxmlformats.org/officeDocument/2006/relationships/customXmlProps" Target="itemProps27.xml"/></Relationships>
</file>

<file path=customXml/_rels/item28.xml.rels><?xml version="1.0" encoding="UTF-8" standalone="yes"?>
<Relationships xmlns="http://schemas.openxmlformats.org/package/2006/relationships"><Relationship Id="rId1" Type="http://schemas.openxmlformats.org/officeDocument/2006/relationships/customXmlProps" Target="itemProps28.xml"/></Relationships>
</file>

<file path=customXml/_rels/item29.xml.rels><?xml version="1.0" encoding="UTF-8" standalone="yes"?>
<Relationships xmlns="http://schemas.openxmlformats.org/package/2006/relationships"><Relationship Id="rId1" Type="http://schemas.openxmlformats.org/officeDocument/2006/relationships/customXmlProps" Target="itemProps29.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24.xml>��
</file>

<file path=customXml/item25.xml>��
</file>

<file path=customXml/item26.xml>��
</file>

<file path=customXml/item27.xml>��
</file>

<file path=customXml/item28.xml>��
</file>

<file path=customXml/item29.xml>��
</file>

<file path=customXml/itemProps1.xml><?xml version="1.0" encoding="utf-8"?>
<ds:datastoreItem xmlns:ds="http://schemas.openxmlformats.org/officeDocument/2006/customXml" ds:itemID="{7AF9058F-E116-4D4F-A1BC-1C5FCB826C77}">
  <ds:schemaRefs>
    <ds:schemaRef ds:uri="http://schemas.microsoft.com/DataMashup"/>
  </ds:schemaRefs>
</ds:datastoreItem>
</file>

<file path=customXml/itemProps2.xml><?xml version="1.0" encoding="utf-8"?>
<ds:datastoreItem xmlns:ds="http://schemas.openxmlformats.org/officeDocument/2006/customXml" ds:itemID="{2D0BC151-8C81-4AA7-BD84-7D830A1495A9}">
  <ds:schemaRefs/>
</ds:datastoreItem>
</file>

<file path=customXml/itemProps3.xml><?xml version="1.0" encoding="utf-8"?>
<ds:datastoreItem xmlns:ds="http://schemas.openxmlformats.org/officeDocument/2006/customXml" ds:itemID="{FFE7E36B-5F55-41F9-A004-A7204EA0FC21}">
  <ds:schemaRefs/>
</ds:datastoreItem>
</file>

<file path=customXml/itemProps4.xml><?xml version="1.0" encoding="utf-8"?>
<ds:datastoreItem xmlns:ds="http://schemas.openxmlformats.org/officeDocument/2006/customXml" ds:itemID="{CF73DD5C-B516-42BA-8EA9-C49AE7761FE5}">
  <ds:schemaRefs/>
</ds:datastoreItem>
</file>

<file path=customXml/itemProps5.xml><?xml version="1.0" encoding="utf-8"?>
<ds:datastoreItem xmlns:ds="http://schemas.openxmlformats.org/officeDocument/2006/customXml" ds:itemID="{F3EEB6CC-71F1-4B1A-B565-D25ACC253DC1}">
  <ds:schemaRefs/>
</ds:datastoreItem>
</file>

<file path=customXml/itemProps6.xml><?xml version="1.0" encoding="utf-8"?>
<ds:datastoreItem xmlns:ds="http://schemas.openxmlformats.org/officeDocument/2006/customXml" ds:itemID="{31B234E0-6D0E-4D11-91FF-F986BF0C5F0B}">
  <ds:schemaRefs/>
</ds:datastoreItem>
</file>

<file path=customXml/itemProps7.xml><?xml version="1.0" encoding="utf-8"?>
<ds:datastoreItem xmlns:ds="http://schemas.openxmlformats.org/officeDocument/2006/customXml" ds:itemID="{1B41FFDA-304B-461C-8BFD-074F1B235D21}">
  <ds:schemaRefs/>
</ds:datastoreItem>
</file>

<file path=customXml/itemProps8.xml><?xml version="1.0" encoding="utf-8"?>
<ds:datastoreItem xmlns:ds="http://schemas.openxmlformats.org/officeDocument/2006/customXml" ds:itemID="{A7040B17-A7BC-43B7-8923-2222C67C6B17}">
  <ds:schemaRefs/>
</ds:datastoreItem>
</file>

<file path=customXml/itemProps9.xml><?xml version="1.0" encoding="utf-8"?>
<ds:datastoreItem xmlns:ds="http://schemas.openxmlformats.org/officeDocument/2006/customXml" ds:itemID="{4091E40E-88BA-421F-9D55-2F8E21808A87}">
  <ds:schemaRefs/>
</ds:datastoreItem>
</file>

<file path=customXml/itemProps10.xml><?xml version="1.0" encoding="utf-8"?>
<ds:datastoreItem xmlns:ds="http://schemas.openxmlformats.org/officeDocument/2006/customXml" ds:itemID="{600B67D4-8D9B-4F49-9CAB-52A0CD026939}">
  <ds:schemaRefs/>
</ds:datastoreItem>
</file>

<file path=customXml/itemProps11.xml><?xml version="1.0" encoding="utf-8"?>
<ds:datastoreItem xmlns:ds="http://schemas.openxmlformats.org/officeDocument/2006/customXml" ds:itemID="{0BA549C3-56AA-406E-8242-7A20631508C1}">
  <ds:schemaRefs/>
</ds:datastoreItem>
</file>

<file path=customXml/itemProps12.xml><?xml version="1.0" encoding="utf-8"?>
<ds:datastoreItem xmlns:ds="http://schemas.openxmlformats.org/officeDocument/2006/customXml" ds:itemID="{87FDA21B-C7A7-4D93-BAEE-DB78ADEEDD4D}">
  <ds:schemaRefs/>
</ds:datastoreItem>
</file>

<file path=customXml/itemProps13.xml><?xml version="1.0" encoding="utf-8"?>
<ds:datastoreItem xmlns:ds="http://schemas.openxmlformats.org/officeDocument/2006/customXml" ds:itemID="{36D85ECA-5991-4908-9E4A-993BFC7E80BD}">
  <ds:schemaRefs/>
</ds:datastoreItem>
</file>

<file path=customXml/itemProps14.xml><?xml version="1.0" encoding="utf-8"?>
<ds:datastoreItem xmlns:ds="http://schemas.openxmlformats.org/officeDocument/2006/customXml" ds:itemID="{30D31145-6AD6-4AF3-93B6-78C26D85C2AC}">
  <ds:schemaRefs/>
</ds:datastoreItem>
</file>

<file path=customXml/itemProps15.xml><?xml version="1.0" encoding="utf-8"?>
<ds:datastoreItem xmlns:ds="http://schemas.openxmlformats.org/officeDocument/2006/customXml" ds:itemID="{1E64AA3C-F382-49D0-962E-B6016FC2C78D}">
  <ds:schemaRefs/>
</ds:datastoreItem>
</file>

<file path=customXml/itemProps16.xml><?xml version="1.0" encoding="utf-8"?>
<ds:datastoreItem xmlns:ds="http://schemas.openxmlformats.org/officeDocument/2006/customXml" ds:itemID="{007277A8-3C30-44E8-B159-8589E11259B2}">
  <ds:schemaRefs/>
</ds:datastoreItem>
</file>

<file path=customXml/itemProps17.xml><?xml version="1.0" encoding="utf-8"?>
<ds:datastoreItem xmlns:ds="http://schemas.openxmlformats.org/officeDocument/2006/customXml" ds:itemID="{0953557E-722B-4A12-AD69-6C52D61D1D90}">
  <ds:schemaRefs/>
</ds:datastoreItem>
</file>

<file path=customXml/itemProps18.xml><?xml version="1.0" encoding="utf-8"?>
<ds:datastoreItem xmlns:ds="http://schemas.openxmlformats.org/officeDocument/2006/customXml" ds:itemID="{8227CEE8-3C84-4E00-9BDC-B0F41A25E12C}">
  <ds:schemaRefs/>
</ds:datastoreItem>
</file>

<file path=customXml/itemProps19.xml><?xml version="1.0" encoding="utf-8"?>
<ds:datastoreItem xmlns:ds="http://schemas.openxmlformats.org/officeDocument/2006/customXml" ds:itemID="{541C315C-85A2-499C-8EB0-A2E6550BFCB0}">
  <ds:schemaRefs/>
</ds:datastoreItem>
</file>

<file path=customXml/itemProps20.xml><?xml version="1.0" encoding="utf-8"?>
<ds:datastoreItem xmlns:ds="http://schemas.openxmlformats.org/officeDocument/2006/customXml" ds:itemID="{98205895-B381-4F8F-BCFB-94356D419D29}">
  <ds:schemaRefs/>
</ds:datastoreItem>
</file>

<file path=customXml/itemProps21.xml><?xml version="1.0" encoding="utf-8"?>
<ds:datastoreItem xmlns:ds="http://schemas.openxmlformats.org/officeDocument/2006/customXml" ds:itemID="{C7AAB055-1D6E-4018-AD06-FB20609F8DB9}">
  <ds:schemaRefs/>
</ds:datastoreItem>
</file>

<file path=customXml/itemProps22.xml><?xml version="1.0" encoding="utf-8"?>
<ds:datastoreItem xmlns:ds="http://schemas.openxmlformats.org/officeDocument/2006/customXml" ds:itemID="{DBCDBB71-1D61-46D8-8F58-F2742C7A915C}">
  <ds:schemaRefs/>
</ds:datastoreItem>
</file>

<file path=customXml/itemProps23.xml><?xml version="1.0" encoding="utf-8"?>
<ds:datastoreItem xmlns:ds="http://schemas.openxmlformats.org/officeDocument/2006/customXml" ds:itemID="{66FCD16D-E144-4AA1-8093-27FC6378B9FB}">
  <ds:schemaRefs/>
</ds:datastoreItem>
</file>

<file path=customXml/itemProps24.xml><?xml version="1.0" encoding="utf-8"?>
<ds:datastoreItem xmlns:ds="http://schemas.openxmlformats.org/officeDocument/2006/customXml" ds:itemID="{7824E555-015A-41B4-96C4-EA98B4DDAE14}">
  <ds:schemaRefs/>
</ds:datastoreItem>
</file>

<file path=customXml/itemProps25.xml><?xml version="1.0" encoding="utf-8"?>
<ds:datastoreItem xmlns:ds="http://schemas.openxmlformats.org/officeDocument/2006/customXml" ds:itemID="{4ED9248B-169B-4337-AA23-06859D7D34CF}">
  <ds:schemaRefs/>
</ds:datastoreItem>
</file>

<file path=customXml/itemProps26.xml><?xml version="1.0" encoding="utf-8"?>
<ds:datastoreItem xmlns:ds="http://schemas.openxmlformats.org/officeDocument/2006/customXml" ds:itemID="{0BF757AA-DA8E-413C-8C73-D848D265A20A}">
  <ds:schemaRefs/>
</ds:datastoreItem>
</file>

<file path=customXml/itemProps27.xml><?xml version="1.0" encoding="utf-8"?>
<ds:datastoreItem xmlns:ds="http://schemas.openxmlformats.org/officeDocument/2006/customXml" ds:itemID="{FAED7B4F-4BEE-4D23-B342-44E6B3C9B3ED}">
  <ds:schemaRefs/>
</ds:datastoreItem>
</file>

<file path=customXml/itemProps28.xml><?xml version="1.0" encoding="utf-8"?>
<ds:datastoreItem xmlns:ds="http://schemas.openxmlformats.org/officeDocument/2006/customXml" ds:itemID="{B23EAE72-030B-4D9F-8C23-7D2D2ECB5963}">
  <ds:schemaRefs/>
</ds:datastoreItem>
</file>

<file path=customXml/itemProps29.xml><?xml version="1.0" encoding="utf-8"?>
<ds:datastoreItem xmlns:ds="http://schemas.openxmlformats.org/officeDocument/2006/customXml" ds:itemID="{1805CE18-C621-4E71-AC9B-4CBEDC1D3F33}">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Aanlysis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mohamed</dc:creator>
  <cp:lastModifiedBy>mohamed</cp:lastModifiedBy>
  <dcterms:created xsi:type="dcterms:W3CDTF">2026-06-29T22:55:25Z</dcterms:created>
  <dcterms:modified xsi:type="dcterms:W3CDTF">2026-06-30T01:05:20Z</dcterms:modified>
</cp:coreProperties>
</file>